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Diário" sheetId="1" r:id="rId5"/>
    <sheet state="visible" name="Meta 3M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<sst xmlns="http://schemas.openxmlformats.org/spreadsheetml/2006/main" count="64" uniqueCount="46">
  <si>
    <t>HOPI HARI · LOG DIÁRIO DE SEGUIDORES</t>
  </si>
  <si>
    <t>META · 4.000.000 DE SEGUIDORES</t>
  </si>
  <si>
    <t>Preencha o total de cada rede por dia (colunas azuis). TOTAL, META e deltas calculam sozinhos. Correção aplicada em 13/06 (Instagram).</t>
  </si>
  <si>
    <t>TOTAL DE SEGUIDORES (preencher)</t>
  </si>
  <si>
    <t>Meta de seguidores</t>
  </si>
  <si>
    <t>Total atual (último dia)</t>
  </si>
  <si>
    <t>NET DIÁRIO (calculado)</t>
  </si>
  <si>
    <t>Data</t>
  </si>
  <si>
    <t>Instagram</t>
  </si>
  <si>
    <t>TikTok</t>
  </si>
  <si>
    <t>Facebook</t>
  </si>
  <si>
    <t>YouTube</t>
  </si>
  <si>
    <t>LinkedIn</t>
  </si>
  <si>
    <t>TOTAL</t>
  </si>
  <si>
    <t>META (3M)</t>
  </si>
  <si>
    <t>Δ Instagram</t>
  </si>
  <si>
    <t>Δ TikTok</t>
  </si>
  <si>
    <t>Δ Facebook</t>
  </si>
  <si>
    <t>Δ YouTube</t>
  </si>
  <si>
    <t>Δ LinkedIn</t>
  </si>
  <si>
    <t>—</t>
  </si>
  <si>
    <t>Data do último registro</t>
  </si>
  <si>
    <t>% da meta atingido</t>
  </si>
  <si>
    <t>Quanto falta para 3M</t>
  </si>
  <si>
    <t>Ganho da última semana (7d)</t>
  </si>
  <si>
    <t>Ritmo semanal médio (desde 02/06)</t>
  </si>
  <si>
    <t>Semanas restantes (ritmo última semana)</t>
  </si>
  <si>
    <t>Data prevista 3M (ritmo última semana)</t>
  </si>
  <si>
    <t>Data prevista 3M (ritmo médio)</t>
  </si>
  <si>
    <t>Célula amarela = editável (meta). Todo o resto calcula sozinho.</t>
  </si>
  <si>
    <t>SEMANA A SEMANA · RESULTADO vs META</t>
  </si>
  <si>
    <t>Semana (fim)</t>
  </si>
  <si>
    <t>Total no fim da semana</t>
  </si>
  <si>
    <t>Meta (3M)</t>
  </si>
  <si>
    <t>Ganho na semana</t>
  </si>
  <si>
    <t>% da meta</t>
  </si>
  <si>
    <t>Falta para 3M</t>
  </si>
  <si>
    <t>DASHBOARD · CRESCIMENTO vs META 3M</t>
  </si>
  <si>
    <t>RESUMO POR REDE</t>
  </si>
  <si>
    <t>Rede</t>
  </si>
  <si>
    <t>Atual</t>
  </si>
  <si>
    <t>Início (02/06)</t>
  </si>
  <si>
    <t>Crescimento</t>
  </si>
  <si>
    <t>% Crescimento</t>
  </si>
  <si>
    <t>Meta proporcional</t>
  </si>
  <si>
    <t>REDE vs META PROPORCIONAL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</si>
</sst>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\+#,##0;\-#,##0;0"/>
    <numFmt numFmtId="166" formatCode="0.0"/>
  </numFmts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666666"/>
      <name val="Arial"/>
    </font>
    <font>
      <b/>
      <sz val="10.0"/>
      <color rgb="FF131428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31428"/>
        <bgColor rgb="FF131428"/>
      </patternFill>
    </fill>
    <fill>
      <patternFill patternType="solid">
        <fgColor rgb="FFFFC72C"/>
        <bgColor rgb="FFFFC72C"/>
      </patternFill>
    </fill>
    <fill>
      <patternFill patternType="solid">
        <fgColor rgb="FFDCE9F7"/>
        <bgColor rgb="FFDCE9F7"/>
      </patternFill>
    </fill>
    <fill>
      <patternFill patternType="solid">
        <fgColor rgb="FFF2F2F5"/>
        <bgColor rgb="FFF2F2F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shrinkToFit="0" vertical="bottom" wrapText="0"/>
    </xf>
    <xf borderId="4" fillId="3" fontId="5" numFmtId="3" xfId="0" applyAlignment="1" applyBorder="1" applyFill="1" applyFont="1" applyNumberFormat="1">
      <alignment readingOrder="0" shrinkToFit="0" vertical="bottom" wrapText="0"/>
    </xf>
    <xf borderId="1" fillId="2" fontId="6" numFmtId="0" xfId="0" applyAlignment="1" applyBorder="1" applyFill="1" applyFont="1">
      <alignment horizontal="center" shrinkToFit="0" vertical="center" wrapText="0"/>
    </xf>
    <xf borderId="4" fillId="2" fontId="6" numFmtId="0" xfId="0" applyAlignment="1" applyBorder="1" applyFill="1" applyFont="1">
      <alignment horizontal="center" shrinkToFit="0" vertical="center" wrapText="0"/>
    </xf>
    <xf borderId="4" fillId="0" fontId="7" numFmtId="164" xfId="0" applyAlignment="1" applyBorder="1" applyFont="1" applyNumberFormat="1">
      <alignment shrinkToFit="0" vertical="bottom" wrapText="0"/>
    </xf>
    <xf borderId="4" fillId="4" fontId="7" numFmtId="3" xfId="0" applyAlignment="1" applyBorder="1" applyFill="1" applyFont="1" applyNumberFormat="1">
      <alignment shrinkToFit="0" vertical="bottom" wrapText="0"/>
    </xf>
    <xf borderId="4" fillId="0" fontId="5" numFmtId="3" xfId="0" applyAlignment="1" applyBorder="1" applyFont="1" applyNumberFormat="1">
      <alignment shrinkToFit="0" vertical="bottom" wrapText="0"/>
    </xf>
    <xf borderId="4" fillId="0" fontId="7" numFmtId="3" xfId="0" applyAlignment="1" applyBorder="1" applyFont="1" applyNumberFormat="1">
      <alignment shrinkToFit="0" vertical="bottom" wrapText="0"/>
    </xf>
    <xf borderId="4" fillId="0" fontId="7" numFmtId="0" xfId="0" applyAlignment="1" applyBorder="1" applyFont="1">
      <alignment horizontal="center" shrinkToFit="0" vertical="center" wrapText="0"/>
    </xf>
    <xf borderId="4" fillId="0" fontId="7" numFmtId="165" xfId="0" applyAlignment="1" applyBorder="1" applyFont="1" applyNumberFormat="1">
      <alignment shrinkToFit="0" vertical="bottom" wrapText="0"/>
    </xf>
    <xf borderId="4" fillId="0" fontId="5" numFmtId="164" xfId="0" applyAlignment="1" applyBorder="1" applyFont="1" applyNumberFormat="1">
      <alignment shrinkToFit="0" vertical="bottom" wrapText="0"/>
    </xf>
    <xf borderId="4" fillId="0" fontId="5" numFmtId="10" xfId="0" applyAlignment="1" applyBorder="1" applyFont="1" applyNumberFormat="1">
      <alignment shrinkToFit="0" vertical="bottom" wrapText="0"/>
    </xf>
    <xf borderId="4" fillId="0" fontId="5" numFmtId="165" xfId="0" applyAlignment="1" applyBorder="1" applyFont="1" applyNumberFormat="1">
      <alignment shrinkToFit="0" vertical="bottom" wrapText="0"/>
    </xf>
    <xf borderId="4" fillId="0" fontId="5" numFmtId="166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5" fontId="7" numFmtId="164" xfId="0" applyAlignment="1" applyBorder="1" applyFill="1" applyFont="1" applyNumberFormat="1">
      <alignment horizontal="center" shrinkToFit="0" vertical="center" wrapText="0"/>
    </xf>
    <xf borderId="4" fillId="5" fontId="7" numFmtId="3" xfId="0" applyAlignment="1" applyBorder="1" applyFill="1" applyFont="1" applyNumberFormat="1">
      <alignment horizontal="center" shrinkToFit="0" vertical="center" wrapText="0"/>
    </xf>
    <xf borderId="4" fillId="5" fontId="7" numFmtId="165" xfId="0" applyAlignment="1" applyBorder="1" applyFill="1" applyFont="1" applyNumberFormat="1">
      <alignment horizontal="center" shrinkToFit="0" vertical="center" wrapText="0"/>
    </xf>
    <xf borderId="4" fillId="5" fontId="7" numFmtId="10" xfId="0" applyAlignment="1" applyBorder="1" applyFill="1" applyFont="1" applyNumberFormat="1">
      <alignment horizontal="center" shrinkToFit="0" vertical="center" wrapText="0"/>
    </xf>
    <xf borderId="4" fillId="0" fontId="7" numFmtId="164" xfId="0" applyAlignment="1" applyBorder="1" applyFont="1" applyNumberFormat="1">
      <alignment horizontal="center" shrinkToFit="0" vertical="center" wrapText="0"/>
    </xf>
    <xf borderId="4" fillId="0" fontId="7" numFmtId="3" xfId="0" applyAlignment="1" applyBorder="1" applyFont="1" applyNumberFormat="1">
      <alignment horizontal="center" shrinkToFit="0" vertical="center" wrapText="0"/>
    </xf>
    <xf borderId="4" fillId="0" fontId="7" numFmtId="165" xfId="0" applyAlignment="1" applyBorder="1" applyFont="1" applyNumberFormat="1">
      <alignment horizontal="center" shrinkToFit="0" vertical="center" wrapText="0"/>
    </xf>
    <xf borderId="4" fillId="0" fontId="7" numFmtId="10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4" fillId="0" fontId="7" numFmtId="10" xfId="0" applyAlignment="1" applyBorder="1" applyFont="1" applyNumberFormat="1">
      <alignment shrinkToFit="0" vertical="bottom" wrapText="0"/>
    </xf>
    <xf borderId="0" fillId="0" fontId="8" numFmtId="0" xfId="0" applyAlignment="1" applyFont="1">
      <alignment readingOrder="0"/>
    </xf>
    <xf borderId="4" fillId="4" fontId="7" numFmtId="3" xfId="0" applyAlignment="1" applyBorder="1" applyFill="1" applyFont="1" applyNumberFormat="1">
      <alignment readingOrder="0"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5" fillId="2" fontId="6" numFmtId="0" xfId="0" applyAlignment="1" applyBorder="1" applyFill="1" applyFont="1">
      <alignment shrinkToFit="0" vertical="bottom" wrapText="0"/>
    </xf>
    <xf borderId="0" fillId="0" fontId="8" numFmtId="0" xfId="0" applyFont="1"/>
    <xf borderId="0" fillId="0" fontId="7" numFmtId="3" xfId="0" applyAlignment="1" applyFont="1" applyNumberFormat="1">
      <alignment shrinkToFit="0" vertical="bottom" wrapText="0"/>
    </xf>
    <xf borderId="4" fillId="5" fontId="7" numFmtId="164" xfId="0" applyAlignment="1" applyBorder="1" applyFill="1" applyFont="1" applyNumberFormat="1">
      <alignment horizontal="center" readingOrder="0" shrinkToFit="0" vertical="center" wrapText="0"/>
    </xf>
    <xf borderId="4" fillId="0" fontId="7" numFmtId="3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Total de seguidores vs Meta 3M (semanal)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 no fim da semana</c:v>
          </c:tx>
          <c:spPr>
            <a:ln cmpd="sng" w="19050">
              <a:solidFill>
                <a:srgbClr val="FFC72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'Meta 3M'!$A$19:$A$50</c:f>
            </c:strRef>
          </c:cat>
          <c:val>
            <c:numRef>
              <c:f>'Meta 3M'!$B$19:$B$50</c:f>
              <c:numCache/>
            </c:numRef>
          </c:val>
          <c:smooth val="1"/>
        </c:ser>
        <c:ser>
          <c:idx val="1"/>
          <c:order val="1"/>
          <c:tx>
            <c:v>Meta (4 M)</c:v>
          </c:tx>
          <c:spPr>
            <a:ln cmpd="sng" w="19050">
              <a:solidFill>
                <a:srgbClr val="4ADE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'Meta 3M'!$A$19:$A$50</c:f>
            </c:strRef>
          </c:cat>
          <c:val>
            <c:numRef>
              <c:f>'Meta 3M'!$C$19:$C$50</c:f>
              <c:numCache/>
            </c:numRef>
          </c:val>
          <c:smooth val="1"/>
        </c:ser>
        <c:axId val="661450268"/>
        <c:axId val="1012252293"/>
      </c:lineChart>
      <c:catAx>
        <c:axId val="661450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12252293"/>
      </c:catAx>
      <c:valAx>
        <c:axId val="1012252293"/>
        <c:scaling>
          <c:orientation val="minMax"/>
          <c:max val="300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145026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Seguidores por rede vs Meta 3M (diário)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Instagram</c:v>
          </c:tx>
          <c:spPr>
            <a:ln cmpd="sng" w="19050">
              <a:solidFill>
                <a:srgbClr val="E1306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'Log Diário'!$A$5:$A$62</c:f>
            </c:strRef>
          </c:cat>
          <c:val>
            <c:numRef>
              <c:f>'Log Diário'!$B$5:$B$62</c:f>
              <c:numCache/>
            </c:numRef>
          </c:val>
          <c:smooth val="0"/>
        </c:ser>
        <c:ser>
          <c:idx val="1"/>
          <c:order val="1"/>
          <c:tx>
            <c:v>TikTok</c:v>
          </c:tx>
          <c:spPr>
            <a:ln cmpd="sng" w="19050">
              <a:solidFill>
                <a:srgbClr val="69C9D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'Log Diário'!$A$5:$A$62</c:f>
            </c:strRef>
          </c:cat>
          <c:val>
            <c:numRef>
              <c:f>'Log Diário'!$C$5:$C$62</c:f>
              <c:numCache/>
            </c:numRef>
          </c:val>
          <c:smooth val="0"/>
        </c:ser>
        <c:ser>
          <c:idx val="2"/>
          <c:order val="2"/>
          <c:tx>
            <c:v>Facebook</c:v>
          </c:tx>
          <c:spPr>
            <a:ln cmpd="sng" w="19050">
              <a:solidFill>
                <a:srgbClr val="4267B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'Log Diário'!$A$5:$A$62</c:f>
            </c:strRef>
          </c:cat>
          <c:val>
            <c:numRef>
              <c:f>'Log Diário'!$D$5:$D$62</c:f>
              <c:numCache/>
            </c:numRef>
          </c:val>
          <c:smooth val="0"/>
        </c:ser>
        <c:ser>
          <c:idx val="3"/>
          <c:order val="3"/>
          <c:tx>
            <c:v>YouTube</c:v>
          </c:tx>
          <c:spPr>
            <a:ln cmpd="sng" w="19050">
              <a:solidFill>
                <a:srgbClr val="FF444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'Log Diário'!$A$5:$A$62</c:f>
            </c:strRef>
          </c:cat>
          <c:val>
            <c:numRef>
              <c:f>'Log Diário'!$E$5:$E$62</c:f>
              <c:numCache/>
            </c:numRef>
          </c:val>
          <c:smooth val="0"/>
        </c:ser>
        <c:ser>
          <c:idx val="4"/>
          <c:order val="4"/>
          <c:tx>
            <c:v>LinkedIn</c:v>
          </c:tx>
          <c:spPr>
            <a:ln cmpd="sng" w="19050">
              <a:solidFill>
                <a:srgbClr val="0A66C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'Log Diário'!$A$5:$A$62</c:f>
            </c:strRef>
          </c:cat>
          <c:val>
            <c:numRef>
              <c:f>'Log Diário'!$F$5:$F$62</c:f>
              <c:numCache/>
            </c:numRef>
          </c:val>
          <c:smooth val="0"/>
        </c:ser>
        <c:ser>
          <c:idx val="5"/>
          <c:order val="5"/>
          <c:tx>
            <c:v>META (3M)</c:v>
          </c:tx>
          <c:spPr>
            <a:ln cmpd="sng" w="19050">
              <a:solidFill>
                <a:srgbClr val="4ADE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'Log Diário'!$A$5:$A$62</c:f>
            </c:strRef>
          </c:cat>
          <c:val>
            <c:numRef>
              <c:f>'Log Diário'!$H$5:$H$62</c:f>
              <c:numCache/>
            </c:numRef>
          </c:val>
          <c:smooth val="0"/>
        </c:ser>
        <c:axId val="432533523"/>
        <c:axId val="90905834"/>
      </c:lineChart>
      <c:catAx>
        <c:axId val="432533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905834"/>
      </c:catAx>
      <c:valAx>
        <c:axId val="90905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253352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Rede: atual vs meta proporcional (share do 3M)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Atual</c:v>
          </c:tx>
          <c:spPr>
            <a:solidFill>
              <a:srgbClr val="FFC72C"/>
            </a:solidFill>
            <a:ln cmpd="sng">
              <a:noFill/>
            </a:ln>
          </c:spPr>
          <c:cat>
            <c:strRef>
              <c:f>Dashboard!$A$54:$A$58</c:f>
            </c:strRef>
          </c:cat>
          <c:val>
            <c:numRef>
              <c:f>Dashboard!$B$54:$B$58</c:f>
              <c:numCache/>
            </c:numRef>
          </c:val>
        </c:ser>
        <c:ser>
          <c:idx val="1"/>
          <c:order val="1"/>
          <c:tx>
            <c:v>Meta proporcional</c:v>
          </c:tx>
          <c:spPr>
            <a:solidFill>
              <a:srgbClr val="4ADE80"/>
            </a:solidFill>
            <a:ln cmpd="sng">
              <a:noFill/>
            </a:ln>
          </c:spPr>
          <c:cat>
            <c:strRef>
              <c:f>Dashboard!$A$54:$A$58</c:f>
            </c:strRef>
          </c:cat>
          <c:val>
            <c:numRef>
              <c:f>Dashboard!$C$54:$C$58</c:f>
              <c:numCache/>
            </c:numRef>
          </c:val>
        </c:ser>
        <c:axId val="630845408"/>
        <c:axId val="1784479672"/>
      </c:barChart>
      <c:catAx>
        <c:axId val="63084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4479672"/>
      </c:catAx>
      <c:valAx>
        <c:axId val="1784479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3084540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6829425" cy="3019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0</xdr:rowOff>
    </xdr:from>
    <xdr:ext cx="6829425" cy="3019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409575</xdr:colOff>
      <xdr:row>13</xdr:row>
      <xdr:rowOff>28575</xdr:rowOff>
    </xdr:from>
    <xdr:ext cx="6858000" cy="3019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2.0"/>
    <col customWidth="1" min="3" max="6" width="11.0"/>
    <col customWidth="1" min="7" max="9" width="12.0"/>
    <col customWidth="1" min="10" max="13" width="11.0"/>
    <col customWidth="1" min="14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1.75" customHeight="1">
      <c r="A2" s="4" t="s">
        <v>2</v>
      </c>
    </row>
    <row r="3">
      <c r="B3" s="6" t="s">
        <v>3</v>
      </c>
      <c r="C3" s="2"/>
      <c r="D3" s="2"/>
      <c r="E3" s="2"/>
      <c r="F3" s="3"/>
      <c r="I3" s="9" t="s">
        <v>6</v>
      </c>
      <c r="J3" s="2"/>
      <c r="K3" s="2"/>
      <c r="L3" s="2"/>
      <c r="M3" s="3"/>
    </row>
    <row r="4">
      <c r="A4" s="10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 t="s">
        <v>19</v>
      </c>
    </row>
    <row r="5">
      <c r="A5" s="11">
        <v>46175.0</v>
      </c>
      <c r="B5" s="12">
        <v>1521064.0</v>
      </c>
      <c r="C5" s="12">
        <v>404326.0</v>
      </c>
      <c r="D5" s="12">
        <v>988295.0</v>
      </c>
      <c r="E5" s="12">
        <v>56858.0</v>
      </c>
      <c r="F5" s="12">
        <v>16824.0</v>
      </c>
      <c r="G5" s="13">
        <f t="shared" ref="G5:G217" si="1">IF(COUNT(B5:F5)=0,"",SUM(B5:F5))</f>
        <v>2987367</v>
      </c>
      <c r="H5" s="14">
        <v>3000000.0</v>
      </c>
      <c r="I5" s="15" t="s">
        <v>20</v>
      </c>
      <c r="J5" s="15" t="s">
        <v>20</v>
      </c>
      <c r="K5" s="15" t="s">
        <v>20</v>
      </c>
      <c r="L5" s="15" t="s">
        <v>20</v>
      </c>
      <c r="M5" s="15" t="s">
        <v>20</v>
      </c>
    </row>
    <row r="6">
      <c r="A6" s="11">
        <v>46176.0</v>
      </c>
      <c r="B6" s="12">
        <v>1521132.0</v>
      </c>
      <c r="C6" s="12">
        <v>404553.0</v>
      </c>
      <c r="D6" s="12">
        <v>986000.0</v>
      </c>
      <c r="E6" s="12">
        <v>57000.0</v>
      </c>
      <c r="F6" s="12">
        <v>17000.0</v>
      </c>
      <c r="G6" s="13">
        <f t="shared" si="1"/>
        <v>2985685</v>
      </c>
      <c r="H6" s="14">
        <v>3000000.0</v>
      </c>
      <c r="I6" s="16">
        <f t="shared" ref="I6:M6" si="2">IF(OR(B6="",B5=""),"",B6-B5)</f>
        <v>68</v>
      </c>
      <c r="J6" s="16">
        <f t="shared" si="2"/>
        <v>227</v>
      </c>
      <c r="K6" s="16">
        <f t="shared" si="2"/>
        <v>-2295</v>
      </c>
      <c r="L6" s="16">
        <f t="shared" si="2"/>
        <v>142</v>
      </c>
      <c r="M6" s="16">
        <f t="shared" si="2"/>
        <v>176</v>
      </c>
    </row>
    <row r="7">
      <c r="A7" s="11">
        <v>46177.0</v>
      </c>
      <c r="B7" s="12">
        <v>1521866.0</v>
      </c>
      <c r="C7" s="12">
        <v>404700.0</v>
      </c>
      <c r="D7" s="12">
        <v>986000.0</v>
      </c>
      <c r="E7" s="12">
        <v>57000.0</v>
      </c>
      <c r="F7" s="12">
        <v>17000.0</v>
      </c>
      <c r="G7" s="13">
        <f t="shared" si="1"/>
        <v>2986566</v>
      </c>
      <c r="H7" s="14">
        <v>3000000.0</v>
      </c>
      <c r="I7" s="16">
        <f t="shared" ref="I7:M7" si="3">IF(OR(B7="",B6=""),"",B7-B6)</f>
        <v>734</v>
      </c>
      <c r="J7" s="16">
        <f t="shared" si="3"/>
        <v>147</v>
      </c>
      <c r="K7" s="16">
        <f t="shared" si="3"/>
        <v>0</v>
      </c>
      <c r="L7" s="16">
        <f t="shared" si="3"/>
        <v>0</v>
      </c>
      <c r="M7" s="16">
        <f t="shared" si="3"/>
        <v>0</v>
      </c>
    </row>
    <row r="8">
      <c r="A8" s="11">
        <v>46178.0</v>
      </c>
      <c r="B8" s="12">
        <v>1521866.0</v>
      </c>
      <c r="C8" s="12">
        <v>404700.0</v>
      </c>
      <c r="D8" s="12">
        <v>986000.0</v>
      </c>
      <c r="E8" s="12">
        <v>57000.0</v>
      </c>
      <c r="F8" s="12">
        <v>17000.0</v>
      </c>
      <c r="G8" s="13">
        <f t="shared" si="1"/>
        <v>2986566</v>
      </c>
      <c r="H8" s="14">
        <v>3000000.0</v>
      </c>
      <c r="I8" s="16">
        <f t="shared" ref="I8:M8" si="4">IF(OR(B8="",B7=""),"",B8-B7)</f>
        <v>0</v>
      </c>
      <c r="J8" s="16">
        <f t="shared" si="4"/>
        <v>0</v>
      </c>
      <c r="K8" s="16">
        <f t="shared" si="4"/>
        <v>0</v>
      </c>
      <c r="L8" s="16">
        <f t="shared" si="4"/>
        <v>0</v>
      </c>
      <c r="M8" s="16">
        <f t="shared" si="4"/>
        <v>0</v>
      </c>
    </row>
    <row r="9">
      <c r="A9" s="11">
        <v>46179.0</v>
      </c>
      <c r="B9" s="12">
        <v>1522351.0</v>
      </c>
      <c r="C9" s="12">
        <v>404800.0</v>
      </c>
      <c r="D9" s="12">
        <v>986000.0</v>
      </c>
      <c r="E9" s="12">
        <v>57000.0</v>
      </c>
      <c r="F9" s="12">
        <v>17000.0</v>
      </c>
      <c r="G9" s="13">
        <f t="shared" si="1"/>
        <v>2987151</v>
      </c>
      <c r="H9" s="14">
        <v>3000000.0</v>
      </c>
      <c r="I9" s="16">
        <f t="shared" ref="I9:M9" si="5">IF(OR(B9="",B8=""),"",B9-B8)</f>
        <v>485</v>
      </c>
      <c r="J9" s="16">
        <f t="shared" si="5"/>
        <v>100</v>
      </c>
      <c r="K9" s="16">
        <f t="shared" si="5"/>
        <v>0</v>
      </c>
      <c r="L9" s="16">
        <f t="shared" si="5"/>
        <v>0</v>
      </c>
      <c r="M9" s="16">
        <f t="shared" si="5"/>
        <v>0</v>
      </c>
    </row>
    <row r="10">
      <c r="A10" s="11">
        <v>46180.0</v>
      </c>
      <c r="B10" s="12">
        <v>1522845.0</v>
      </c>
      <c r="C10" s="12">
        <v>404800.0</v>
      </c>
      <c r="D10" s="12">
        <v>986000.0</v>
      </c>
      <c r="E10" s="12">
        <v>57000.0</v>
      </c>
      <c r="F10" s="12">
        <v>17000.0</v>
      </c>
      <c r="G10" s="13">
        <f t="shared" si="1"/>
        <v>2987645</v>
      </c>
      <c r="H10" s="14">
        <v>3000000.0</v>
      </c>
      <c r="I10" s="16">
        <f t="shared" ref="I10:M10" si="6">IF(OR(B10="",B9=""),"",B10-B9)</f>
        <v>494</v>
      </c>
      <c r="J10" s="16">
        <f t="shared" si="6"/>
        <v>0</v>
      </c>
      <c r="K10" s="16">
        <f t="shared" si="6"/>
        <v>0</v>
      </c>
      <c r="L10" s="16">
        <f t="shared" si="6"/>
        <v>0</v>
      </c>
      <c r="M10" s="16">
        <f t="shared" si="6"/>
        <v>0</v>
      </c>
    </row>
    <row r="11">
      <c r="A11" s="11">
        <v>46181.0</v>
      </c>
      <c r="B11" s="12">
        <v>1522845.0</v>
      </c>
      <c r="C11" s="12">
        <v>404800.0</v>
      </c>
      <c r="D11" s="12">
        <v>986000.0</v>
      </c>
      <c r="E11" s="12">
        <v>57000.0</v>
      </c>
      <c r="F11" s="12">
        <v>17000.0</v>
      </c>
      <c r="G11" s="13">
        <f t="shared" si="1"/>
        <v>2987645</v>
      </c>
      <c r="H11" s="14">
        <v>3000000.0</v>
      </c>
      <c r="I11" s="16">
        <f t="shared" ref="I11:M11" si="7">IF(OR(B11="",B10=""),"",B11-B10)</f>
        <v>0</v>
      </c>
      <c r="J11" s="16">
        <f t="shared" si="7"/>
        <v>0</v>
      </c>
      <c r="K11" s="16">
        <f t="shared" si="7"/>
        <v>0</v>
      </c>
      <c r="L11" s="16">
        <f t="shared" si="7"/>
        <v>0</v>
      </c>
      <c r="M11" s="16">
        <f t="shared" si="7"/>
        <v>0</v>
      </c>
    </row>
    <row r="12">
      <c r="A12" s="11">
        <v>46182.0</v>
      </c>
      <c r="B12" s="12">
        <v>1522793.0</v>
      </c>
      <c r="C12" s="12">
        <v>404790.0</v>
      </c>
      <c r="D12" s="12">
        <v>986300.0</v>
      </c>
      <c r="E12" s="12">
        <v>57100.0</v>
      </c>
      <c r="F12" s="12">
        <v>17000.0</v>
      </c>
      <c r="G12" s="13">
        <f t="shared" si="1"/>
        <v>2987983</v>
      </c>
      <c r="H12" s="14">
        <v>3000000.0</v>
      </c>
      <c r="I12" s="16">
        <f t="shared" ref="I12:M12" si="8">IF(OR(B12="",B11=""),"",B12-B11)</f>
        <v>-52</v>
      </c>
      <c r="J12" s="16">
        <f t="shared" si="8"/>
        <v>-10</v>
      </c>
      <c r="K12" s="16">
        <f t="shared" si="8"/>
        <v>300</v>
      </c>
      <c r="L12" s="16">
        <f t="shared" si="8"/>
        <v>100</v>
      </c>
      <c r="M12" s="16">
        <f t="shared" si="8"/>
        <v>0</v>
      </c>
    </row>
    <row r="13">
      <c r="A13" s="11">
        <v>46183.0</v>
      </c>
      <c r="B13" s="12">
        <v>1522602.0</v>
      </c>
      <c r="C13" s="12">
        <v>404829.0</v>
      </c>
      <c r="D13" s="12">
        <v>986191.0</v>
      </c>
      <c r="E13" s="12">
        <v>57100.0</v>
      </c>
      <c r="F13" s="12">
        <v>17000.0</v>
      </c>
      <c r="G13" s="13">
        <f t="shared" si="1"/>
        <v>2987722</v>
      </c>
      <c r="H13" s="14">
        <v>3000000.0</v>
      </c>
      <c r="I13" s="16">
        <f t="shared" ref="I13:M13" si="9">IF(OR(B13="",B12=""),"",B13-B12)</f>
        <v>-191</v>
      </c>
      <c r="J13" s="16">
        <f t="shared" si="9"/>
        <v>39</v>
      </c>
      <c r="K13" s="16">
        <f t="shared" si="9"/>
        <v>-109</v>
      </c>
      <c r="L13" s="16">
        <f t="shared" si="9"/>
        <v>0</v>
      </c>
      <c r="M13" s="16">
        <f t="shared" si="9"/>
        <v>0</v>
      </c>
    </row>
    <row r="14">
      <c r="A14" s="11">
        <v>46184.0</v>
      </c>
      <c r="B14" s="12">
        <v>1522602.0</v>
      </c>
      <c r="C14" s="12">
        <v>404829.0</v>
      </c>
      <c r="D14" s="12">
        <v>986191.0</v>
      </c>
      <c r="E14" s="12">
        <v>57100.0</v>
      </c>
      <c r="F14" s="12">
        <v>16984.0</v>
      </c>
      <c r="G14" s="13">
        <f t="shared" si="1"/>
        <v>2987706</v>
      </c>
      <c r="H14" s="14">
        <v>3000000.0</v>
      </c>
      <c r="I14" s="16">
        <f t="shared" ref="I14:M14" si="10">IF(OR(B14="",B13=""),"",B14-B13)</f>
        <v>0</v>
      </c>
      <c r="J14" s="16">
        <f t="shared" si="10"/>
        <v>0</v>
      </c>
      <c r="K14" s="16">
        <f t="shared" si="10"/>
        <v>0</v>
      </c>
      <c r="L14" s="16">
        <f t="shared" si="10"/>
        <v>0</v>
      </c>
      <c r="M14" s="16">
        <f t="shared" si="10"/>
        <v>-16</v>
      </c>
    </row>
    <row r="15">
      <c r="A15" s="11">
        <v>46185.0</v>
      </c>
      <c r="B15" s="12">
        <v>1522521.0</v>
      </c>
      <c r="C15" s="12">
        <v>404821.0</v>
      </c>
      <c r="D15" s="12">
        <v>986139.0</v>
      </c>
      <c r="E15" s="12">
        <v>57115.0</v>
      </c>
      <c r="F15" s="12">
        <v>16987.0</v>
      </c>
      <c r="G15" s="13">
        <f t="shared" si="1"/>
        <v>2987583</v>
      </c>
      <c r="H15" s="14">
        <v>3000000.0</v>
      </c>
      <c r="I15" s="16">
        <f t="shared" ref="I15:M15" si="11">IF(OR(B15="",B14=""),"",B15-B14)</f>
        <v>-81</v>
      </c>
      <c r="J15" s="16">
        <f t="shared" si="11"/>
        <v>-8</v>
      </c>
      <c r="K15" s="16">
        <f t="shared" si="11"/>
        <v>-52</v>
      </c>
      <c r="L15" s="16">
        <f t="shared" si="11"/>
        <v>15</v>
      </c>
      <c r="M15" s="16">
        <f t="shared" si="11"/>
        <v>3</v>
      </c>
    </row>
    <row r="16">
      <c r="A16" s="11">
        <v>46186.0</v>
      </c>
      <c r="B16" s="12">
        <v>1522444.0</v>
      </c>
      <c r="C16" s="12">
        <v>404823.0</v>
      </c>
      <c r="D16" s="12">
        <v>986089.0</v>
      </c>
      <c r="E16" s="12">
        <v>57134.0</v>
      </c>
      <c r="F16" s="12">
        <v>16991.0</v>
      </c>
      <c r="G16" s="13">
        <f t="shared" si="1"/>
        <v>2987481</v>
      </c>
      <c r="H16" s="14">
        <v>3000000.0</v>
      </c>
      <c r="I16" s="16">
        <f t="shared" ref="I16:M16" si="12">IF(OR(B16="",B15=""),"",B16-B15)</f>
        <v>-77</v>
      </c>
      <c r="J16" s="16">
        <f t="shared" si="12"/>
        <v>2</v>
      </c>
      <c r="K16" s="16">
        <f t="shared" si="12"/>
        <v>-50</v>
      </c>
      <c r="L16" s="16">
        <f t="shared" si="12"/>
        <v>19</v>
      </c>
      <c r="M16" s="16">
        <f t="shared" si="12"/>
        <v>4</v>
      </c>
    </row>
    <row r="17">
      <c r="A17" s="11">
        <v>46187.0</v>
      </c>
      <c r="B17" s="12">
        <v>1522336.0</v>
      </c>
      <c r="C17" s="12">
        <v>404865.0</v>
      </c>
      <c r="D17" s="12">
        <v>986005.0</v>
      </c>
      <c r="E17" s="12">
        <v>57149.0</v>
      </c>
      <c r="F17" s="12">
        <v>16992.0</v>
      </c>
      <c r="G17" s="13">
        <f t="shared" si="1"/>
        <v>2987347</v>
      </c>
      <c r="H17" s="14">
        <v>3000000.0</v>
      </c>
      <c r="I17" s="16">
        <f t="shared" ref="I17:M17" si="13">IF(OR(B17="",B16=""),"",B17-B16)</f>
        <v>-108</v>
      </c>
      <c r="J17" s="16">
        <f t="shared" si="13"/>
        <v>42</v>
      </c>
      <c r="K17" s="16">
        <f t="shared" si="13"/>
        <v>-84</v>
      </c>
      <c r="L17" s="16">
        <f t="shared" si="13"/>
        <v>15</v>
      </c>
      <c r="M17" s="16">
        <f t="shared" si="13"/>
        <v>1</v>
      </c>
    </row>
    <row r="18">
      <c r="A18" s="11">
        <v>46188.0</v>
      </c>
      <c r="B18" s="12">
        <v>1522007.0</v>
      </c>
      <c r="C18" s="12">
        <v>404863.0</v>
      </c>
      <c r="D18" s="12">
        <v>985951.0</v>
      </c>
      <c r="E18" s="12">
        <v>57157.0</v>
      </c>
      <c r="F18" s="12">
        <v>16997.0</v>
      </c>
      <c r="G18" s="13">
        <f t="shared" si="1"/>
        <v>2986975</v>
      </c>
      <c r="H18" s="14">
        <v>3000000.0</v>
      </c>
      <c r="I18" s="16">
        <f t="shared" ref="I18:M18" si="14">IF(OR(B18="",B17=""),"",B18-B17)</f>
        <v>-329</v>
      </c>
      <c r="J18" s="16">
        <f t="shared" si="14"/>
        <v>-2</v>
      </c>
      <c r="K18" s="16">
        <f t="shared" si="14"/>
        <v>-54</v>
      </c>
      <c r="L18" s="16">
        <f t="shared" si="14"/>
        <v>8</v>
      </c>
      <c r="M18" s="16">
        <f t="shared" si="14"/>
        <v>5</v>
      </c>
    </row>
    <row r="19">
      <c r="A19" s="11">
        <v>46189.0</v>
      </c>
      <c r="B19" s="12">
        <v>1522007.0</v>
      </c>
      <c r="C19" s="12">
        <v>404863.0</v>
      </c>
      <c r="D19" s="12">
        <v>985951.0</v>
      </c>
      <c r="E19" s="12">
        <v>57157.0</v>
      </c>
      <c r="F19" s="12">
        <v>16997.0</v>
      </c>
      <c r="G19" s="13">
        <f t="shared" si="1"/>
        <v>2986975</v>
      </c>
      <c r="H19" s="14">
        <v>3000000.0</v>
      </c>
      <c r="I19" s="16">
        <f t="shared" ref="I19:M19" si="15">IF(OR(B19="",B18=""),"",B19-B18)</f>
        <v>0</v>
      </c>
      <c r="J19" s="16">
        <f t="shared" si="15"/>
        <v>0</v>
      </c>
      <c r="K19" s="16">
        <f t="shared" si="15"/>
        <v>0</v>
      </c>
      <c r="L19" s="16">
        <f t="shared" si="15"/>
        <v>0</v>
      </c>
      <c r="M19" s="16">
        <f t="shared" si="15"/>
        <v>0</v>
      </c>
    </row>
    <row r="20">
      <c r="A20" s="11">
        <v>46190.0</v>
      </c>
      <c r="B20" s="12">
        <v>1521480.0</v>
      </c>
      <c r="C20" s="12">
        <v>404872.0</v>
      </c>
      <c r="D20" s="12">
        <v>985913.0</v>
      </c>
      <c r="E20" s="12">
        <v>57159.0</v>
      </c>
      <c r="F20" s="12">
        <v>17004.0</v>
      </c>
      <c r="G20" s="13">
        <f t="shared" si="1"/>
        <v>2986428</v>
      </c>
      <c r="H20" s="14">
        <v>3000000.0</v>
      </c>
      <c r="I20" s="16">
        <f t="shared" ref="I20:M20" si="16">IF(OR(B20="",B19=""),"",B20-B19)</f>
        <v>-527</v>
      </c>
      <c r="J20" s="16">
        <f t="shared" si="16"/>
        <v>9</v>
      </c>
      <c r="K20" s="16">
        <f t="shared" si="16"/>
        <v>-38</v>
      </c>
      <c r="L20" s="16">
        <f t="shared" si="16"/>
        <v>2</v>
      </c>
      <c r="M20" s="16">
        <f t="shared" si="16"/>
        <v>7</v>
      </c>
    </row>
    <row r="21" ht="15.75" customHeight="1">
      <c r="A21" s="11">
        <v>46191.0</v>
      </c>
      <c r="B21" s="12">
        <v>1521393.0</v>
      </c>
      <c r="C21" s="12">
        <v>404907.0</v>
      </c>
      <c r="D21" s="12">
        <v>985967.0</v>
      </c>
      <c r="E21" s="12">
        <v>57162.0</v>
      </c>
      <c r="F21" s="12">
        <v>17006.0</v>
      </c>
      <c r="G21" s="13">
        <f t="shared" si="1"/>
        <v>2986435</v>
      </c>
      <c r="H21" s="14">
        <v>3000000.0</v>
      </c>
      <c r="I21" s="16">
        <f t="shared" ref="I21:M21" si="17">IF(OR(B21="",B20=""),"",B21-B20)</f>
        <v>-87</v>
      </c>
      <c r="J21" s="16">
        <f t="shared" si="17"/>
        <v>35</v>
      </c>
      <c r="K21" s="16">
        <f t="shared" si="17"/>
        <v>54</v>
      </c>
      <c r="L21" s="16">
        <f t="shared" si="17"/>
        <v>3</v>
      </c>
      <c r="M21" s="16">
        <f t="shared" si="17"/>
        <v>2</v>
      </c>
    </row>
    <row r="22" ht="15.75" customHeight="1">
      <c r="A22" s="11">
        <v>46192.0</v>
      </c>
      <c r="B22" s="12">
        <v>1522387.0</v>
      </c>
      <c r="C22" s="12">
        <v>405007.0</v>
      </c>
      <c r="D22" s="12">
        <v>985689.0</v>
      </c>
      <c r="E22" s="12">
        <v>57191.0</v>
      </c>
      <c r="F22" s="12">
        <v>17020.0</v>
      </c>
      <c r="G22" s="13">
        <f t="shared" si="1"/>
        <v>2987294</v>
      </c>
      <c r="H22" s="14">
        <v>3000000.0</v>
      </c>
      <c r="I22" s="16">
        <f t="shared" ref="I22:M22" si="18">IF(OR(B22="",B21=""),"",B22-B21)</f>
        <v>994</v>
      </c>
      <c r="J22" s="16">
        <f t="shared" si="18"/>
        <v>100</v>
      </c>
      <c r="K22" s="16">
        <f t="shared" si="18"/>
        <v>-278</v>
      </c>
      <c r="L22" s="16">
        <f t="shared" si="18"/>
        <v>29</v>
      </c>
      <c r="M22" s="16">
        <f t="shared" si="18"/>
        <v>14</v>
      </c>
    </row>
    <row r="23" ht="15.75" customHeight="1">
      <c r="A23" s="11">
        <v>46193.0</v>
      </c>
      <c r="B23" s="12">
        <v>1522387.0</v>
      </c>
      <c r="C23" s="12">
        <v>405007.0</v>
      </c>
      <c r="D23" s="12">
        <v>985689.0</v>
      </c>
      <c r="E23" s="12">
        <v>57191.0</v>
      </c>
      <c r="F23" s="12">
        <v>17020.0</v>
      </c>
      <c r="G23" s="13">
        <f t="shared" si="1"/>
        <v>2987294</v>
      </c>
      <c r="H23" s="14">
        <v>3000000.0</v>
      </c>
      <c r="I23" s="16">
        <f t="shared" ref="I23:M23" si="19">IF(OR(B23="",B22=""),"",B23-B22)</f>
        <v>0</v>
      </c>
      <c r="J23" s="16">
        <f t="shared" si="19"/>
        <v>0</v>
      </c>
      <c r="K23" s="16">
        <f t="shared" si="19"/>
        <v>0</v>
      </c>
      <c r="L23" s="16">
        <f t="shared" si="19"/>
        <v>0</v>
      </c>
      <c r="M23" s="16">
        <f t="shared" si="19"/>
        <v>0</v>
      </c>
    </row>
    <row r="24" ht="15.75" customHeight="1">
      <c r="A24" s="11">
        <v>46194.0</v>
      </c>
      <c r="B24" s="12">
        <v>1522387.0</v>
      </c>
      <c r="C24" s="12">
        <v>405007.0</v>
      </c>
      <c r="D24" s="12">
        <v>985689.0</v>
      </c>
      <c r="E24" s="12">
        <v>57191.0</v>
      </c>
      <c r="F24" s="12">
        <v>17020.0</v>
      </c>
      <c r="G24" s="13">
        <f t="shared" si="1"/>
        <v>2987294</v>
      </c>
      <c r="H24" s="14">
        <v>3000000.0</v>
      </c>
      <c r="I24" s="16">
        <f t="shared" ref="I24:M24" si="20">IF(OR(B24="",B23=""),"",B24-B23)</f>
        <v>0</v>
      </c>
      <c r="J24" s="16">
        <f t="shared" si="20"/>
        <v>0</v>
      </c>
      <c r="K24" s="16">
        <f t="shared" si="20"/>
        <v>0</v>
      </c>
      <c r="L24" s="16">
        <f t="shared" si="20"/>
        <v>0</v>
      </c>
      <c r="M24" s="16">
        <f t="shared" si="20"/>
        <v>0</v>
      </c>
    </row>
    <row r="25" ht="15.75" customHeight="1">
      <c r="A25" s="11">
        <v>46195.0</v>
      </c>
      <c r="B25" s="12">
        <v>1522387.0</v>
      </c>
      <c r="C25" s="12">
        <v>405007.0</v>
      </c>
      <c r="D25" s="12">
        <v>985689.0</v>
      </c>
      <c r="E25" s="12">
        <v>57191.0</v>
      </c>
      <c r="F25" s="12">
        <v>17020.0</v>
      </c>
      <c r="G25" s="13">
        <f t="shared" si="1"/>
        <v>2987294</v>
      </c>
      <c r="H25" s="14">
        <v>3000000.0</v>
      </c>
      <c r="I25" s="16">
        <f t="shared" ref="I25:M25" si="21">IF(OR(B25="",B24=""),"",B25-B24)</f>
        <v>0</v>
      </c>
      <c r="J25" s="16">
        <f t="shared" si="21"/>
        <v>0</v>
      </c>
      <c r="K25" s="16">
        <f t="shared" si="21"/>
        <v>0</v>
      </c>
      <c r="L25" s="16">
        <f t="shared" si="21"/>
        <v>0</v>
      </c>
      <c r="M25" s="16">
        <f t="shared" si="21"/>
        <v>0</v>
      </c>
    </row>
    <row r="26" ht="15.75" customHeight="1">
      <c r="A26" s="11">
        <v>46196.0</v>
      </c>
      <c r="B26" s="12">
        <v>1522387.0</v>
      </c>
      <c r="C26" s="12">
        <v>405007.0</v>
      </c>
      <c r="D26" s="12">
        <v>985689.0</v>
      </c>
      <c r="E26" s="12">
        <v>57191.0</v>
      </c>
      <c r="F26" s="12">
        <v>17020.0</v>
      </c>
      <c r="G26" s="13">
        <f t="shared" si="1"/>
        <v>2987294</v>
      </c>
      <c r="H26" s="14">
        <v>3000000.0</v>
      </c>
      <c r="I26" s="16">
        <f t="shared" ref="I26:M26" si="22">IF(OR(B26="",B25=""),"",B26-B25)</f>
        <v>0</v>
      </c>
      <c r="J26" s="16">
        <f t="shared" si="22"/>
        <v>0</v>
      </c>
      <c r="K26" s="16">
        <f t="shared" si="22"/>
        <v>0</v>
      </c>
      <c r="L26" s="16">
        <f t="shared" si="22"/>
        <v>0</v>
      </c>
      <c r="M26" s="16">
        <f t="shared" si="22"/>
        <v>0</v>
      </c>
    </row>
    <row r="27" ht="15.75" customHeight="1">
      <c r="A27" s="11">
        <v>46197.0</v>
      </c>
      <c r="B27" s="12">
        <v>1520623.0</v>
      </c>
      <c r="C27" s="12">
        <v>405122.0</v>
      </c>
      <c r="D27" s="12">
        <v>985529.0</v>
      </c>
      <c r="E27" s="12">
        <v>57217.0</v>
      </c>
      <c r="F27" s="12">
        <v>17031.0</v>
      </c>
      <c r="G27" s="13">
        <f t="shared" si="1"/>
        <v>2985522</v>
      </c>
      <c r="H27" s="14">
        <v>3000000.0</v>
      </c>
      <c r="I27" s="16">
        <f t="shared" ref="I27:M27" si="23">IF(OR(B27="",B26=""),"",B27-B26)</f>
        <v>-1764</v>
      </c>
      <c r="J27" s="16">
        <f t="shared" si="23"/>
        <v>115</v>
      </c>
      <c r="K27" s="16">
        <f t="shared" si="23"/>
        <v>-160</v>
      </c>
      <c r="L27" s="16">
        <f t="shared" si="23"/>
        <v>26</v>
      </c>
      <c r="M27" s="16">
        <f t="shared" si="23"/>
        <v>11</v>
      </c>
    </row>
    <row r="28" ht="15.75" customHeight="1">
      <c r="A28" s="11">
        <v>46198.0</v>
      </c>
      <c r="B28" s="12">
        <v>1520578.0</v>
      </c>
      <c r="C28" s="12">
        <v>405383.0</v>
      </c>
      <c r="D28" s="12">
        <v>985260.0</v>
      </c>
      <c r="E28" s="12">
        <v>57260.0</v>
      </c>
      <c r="F28" s="12">
        <v>17062.0</v>
      </c>
      <c r="G28" s="13">
        <f t="shared" si="1"/>
        <v>2985543</v>
      </c>
      <c r="H28" s="14">
        <v>3000000.0</v>
      </c>
      <c r="I28" s="16">
        <f t="shared" ref="I28:M28" si="24">IF(OR(B28="",B27=""),"",B28-B27)</f>
        <v>-45</v>
      </c>
      <c r="J28" s="16">
        <f t="shared" si="24"/>
        <v>261</v>
      </c>
      <c r="K28" s="16">
        <f t="shared" si="24"/>
        <v>-269</v>
      </c>
      <c r="L28" s="16">
        <f t="shared" si="24"/>
        <v>43</v>
      </c>
      <c r="M28" s="16">
        <f t="shared" si="24"/>
        <v>31</v>
      </c>
    </row>
    <row r="29" ht="15.75" customHeight="1">
      <c r="A29" s="11">
        <v>46199.0</v>
      </c>
      <c r="B29" s="12">
        <v>1520578.0</v>
      </c>
      <c r="C29" s="12">
        <v>405383.0</v>
      </c>
      <c r="D29" s="12">
        <v>985260.0</v>
      </c>
      <c r="E29" s="12">
        <v>57260.0</v>
      </c>
      <c r="F29" s="12">
        <v>17062.0</v>
      </c>
      <c r="G29" s="13">
        <f t="shared" si="1"/>
        <v>2985543</v>
      </c>
      <c r="H29" s="14">
        <v>3000000.0</v>
      </c>
      <c r="I29" s="16">
        <f t="shared" ref="I29:M29" si="25">IF(OR(B29="",B28=""),"",B29-B28)</f>
        <v>0</v>
      </c>
      <c r="J29" s="16">
        <f t="shared" si="25"/>
        <v>0</v>
      </c>
      <c r="K29" s="16">
        <f t="shared" si="25"/>
        <v>0</v>
      </c>
      <c r="L29" s="16">
        <f t="shared" si="25"/>
        <v>0</v>
      </c>
      <c r="M29" s="16">
        <f t="shared" si="25"/>
        <v>0</v>
      </c>
    </row>
    <row r="30" ht="15.75" customHeight="1">
      <c r="A30" s="11">
        <v>46200.0</v>
      </c>
      <c r="B30" s="12">
        <v>1520578.0</v>
      </c>
      <c r="C30" s="12">
        <v>405383.0</v>
      </c>
      <c r="D30" s="12">
        <v>985260.0</v>
      </c>
      <c r="E30" s="12">
        <v>57260.0</v>
      </c>
      <c r="F30" s="12">
        <v>17062.0</v>
      </c>
      <c r="G30" s="13">
        <f t="shared" si="1"/>
        <v>2985543</v>
      </c>
      <c r="H30" s="14">
        <v>3000000.0</v>
      </c>
      <c r="I30" s="16">
        <f t="shared" ref="I30:M30" si="26">IF(OR(B30="",B29=""),"",B30-B29)</f>
        <v>0</v>
      </c>
      <c r="J30" s="16">
        <f t="shared" si="26"/>
        <v>0</v>
      </c>
      <c r="K30" s="16">
        <f t="shared" si="26"/>
        <v>0</v>
      </c>
      <c r="L30" s="16">
        <f t="shared" si="26"/>
        <v>0</v>
      </c>
      <c r="M30" s="16">
        <f t="shared" si="26"/>
        <v>0</v>
      </c>
    </row>
    <row r="31" ht="15.75" customHeight="1">
      <c r="A31" s="11">
        <v>46201.0</v>
      </c>
      <c r="B31" s="12">
        <v>1520578.0</v>
      </c>
      <c r="C31" s="12">
        <v>405383.0</v>
      </c>
      <c r="D31" s="12">
        <v>985260.0</v>
      </c>
      <c r="E31" s="12">
        <v>57260.0</v>
      </c>
      <c r="F31" s="12">
        <v>17062.0</v>
      </c>
      <c r="G31" s="13">
        <f t="shared" si="1"/>
        <v>2985543</v>
      </c>
      <c r="H31" s="14">
        <v>3000000.0</v>
      </c>
      <c r="I31" s="16">
        <f t="shared" ref="I31:M31" si="27">IF(OR(B31="",B30=""),"",B31-B30)</f>
        <v>0</v>
      </c>
      <c r="J31" s="16">
        <f t="shared" si="27"/>
        <v>0</v>
      </c>
      <c r="K31" s="16">
        <f t="shared" si="27"/>
        <v>0</v>
      </c>
      <c r="L31" s="16">
        <f t="shared" si="27"/>
        <v>0</v>
      </c>
      <c r="M31" s="16">
        <f t="shared" si="27"/>
        <v>0</v>
      </c>
    </row>
    <row r="32" ht="15.75" customHeight="1">
      <c r="A32" s="11">
        <v>46202.0</v>
      </c>
      <c r="B32" s="12">
        <v>1520578.0</v>
      </c>
      <c r="C32" s="12">
        <v>405383.0</v>
      </c>
      <c r="D32" s="12">
        <v>985260.0</v>
      </c>
      <c r="E32" s="12">
        <v>57260.0</v>
      </c>
      <c r="F32" s="12">
        <v>17062.0</v>
      </c>
      <c r="G32" s="13">
        <f t="shared" si="1"/>
        <v>2985543</v>
      </c>
      <c r="H32" s="14">
        <v>3000000.0</v>
      </c>
      <c r="I32" s="16">
        <f t="shared" ref="I32:M32" si="28">IF(OR(B32="",B31=""),"",B32-B31)</f>
        <v>0</v>
      </c>
      <c r="J32" s="16">
        <f t="shared" si="28"/>
        <v>0</v>
      </c>
      <c r="K32" s="16">
        <f t="shared" si="28"/>
        <v>0</v>
      </c>
      <c r="L32" s="16">
        <f t="shared" si="28"/>
        <v>0</v>
      </c>
      <c r="M32" s="16">
        <f t="shared" si="28"/>
        <v>0</v>
      </c>
    </row>
    <row r="33" ht="15.75" customHeight="1">
      <c r="A33" s="11">
        <v>46203.0</v>
      </c>
      <c r="B33" s="12">
        <v>1520578.0</v>
      </c>
      <c r="C33" s="12">
        <v>405383.0</v>
      </c>
      <c r="D33" s="12">
        <v>985260.0</v>
      </c>
      <c r="E33" s="12">
        <v>57260.0</v>
      </c>
      <c r="F33" s="12">
        <v>17062.0</v>
      </c>
      <c r="G33" s="13">
        <f t="shared" si="1"/>
        <v>2985543</v>
      </c>
      <c r="H33" s="14">
        <v>3000000.0</v>
      </c>
      <c r="I33" s="16">
        <f t="shared" ref="I33:M33" si="29">IF(OR(B33="",B32=""),"",B33-B32)</f>
        <v>0</v>
      </c>
      <c r="J33" s="16">
        <f t="shared" si="29"/>
        <v>0</v>
      </c>
      <c r="K33" s="16">
        <f t="shared" si="29"/>
        <v>0</v>
      </c>
      <c r="L33" s="16">
        <f t="shared" si="29"/>
        <v>0</v>
      </c>
      <c r="M33" s="16">
        <f t="shared" si="29"/>
        <v>0</v>
      </c>
    </row>
    <row r="34" ht="15.75" customHeight="1">
      <c r="A34" s="11">
        <v>46204.0</v>
      </c>
      <c r="B34" s="12">
        <v>1521629.0</v>
      </c>
      <c r="C34" s="12">
        <v>405275.0</v>
      </c>
      <c r="D34" s="12">
        <v>985026.0</v>
      </c>
      <c r="E34" s="12">
        <v>57322.0</v>
      </c>
      <c r="F34" s="12">
        <v>17062.0</v>
      </c>
      <c r="G34" s="13">
        <f t="shared" si="1"/>
        <v>2986314</v>
      </c>
      <c r="H34" s="14">
        <v>3000000.0</v>
      </c>
      <c r="I34" s="16">
        <f t="shared" ref="I34:M34" si="30">IF(OR(B34="",B33=""),"",B34-B33)</f>
        <v>1051</v>
      </c>
      <c r="J34" s="16">
        <f t="shared" si="30"/>
        <v>-108</v>
      </c>
      <c r="K34" s="16">
        <f t="shared" si="30"/>
        <v>-234</v>
      </c>
      <c r="L34" s="16">
        <f t="shared" si="30"/>
        <v>62</v>
      </c>
      <c r="M34" s="16">
        <f t="shared" si="30"/>
        <v>0</v>
      </c>
    </row>
    <row r="35" ht="15.75" customHeight="1">
      <c r="A35" s="11">
        <v>46205.0</v>
      </c>
      <c r="B35" s="12">
        <v>1521629.0</v>
      </c>
      <c r="C35" s="12">
        <v>405275.0</v>
      </c>
      <c r="D35" s="12">
        <v>985026.0</v>
      </c>
      <c r="E35" s="12">
        <v>57322.0</v>
      </c>
      <c r="F35" s="12">
        <v>17062.0</v>
      </c>
      <c r="G35" s="13">
        <f t="shared" si="1"/>
        <v>2986314</v>
      </c>
      <c r="H35" s="14">
        <v>3000000.0</v>
      </c>
      <c r="I35" s="16">
        <f t="shared" ref="I35:M35" si="31">IF(OR(B35="",B34=""),"",B35-B34)</f>
        <v>0</v>
      </c>
      <c r="J35" s="16">
        <f t="shared" si="31"/>
        <v>0</v>
      </c>
      <c r="K35" s="16">
        <f t="shared" si="31"/>
        <v>0</v>
      </c>
      <c r="L35" s="16">
        <f t="shared" si="31"/>
        <v>0</v>
      </c>
      <c r="M35" s="16">
        <f t="shared" si="31"/>
        <v>0</v>
      </c>
    </row>
    <row r="36" ht="15.75" customHeight="1">
      <c r="A36" s="11">
        <v>46206.0</v>
      </c>
      <c r="B36" s="12">
        <v>1521629.0</v>
      </c>
      <c r="C36" s="12">
        <v>405275.0</v>
      </c>
      <c r="D36" s="12">
        <v>985026.0</v>
      </c>
      <c r="E36" s="12">
        <v>57322.0</v>
      </c>
      <c r="F36" s="12">
        <v>17062.0</v>
      </c>
      <c r="G36" s="13">
        <f t="shared" si="1"/>
        <v>2986314</v>
      </c>
      <c r="H36" s="14">
        <v>3000000.0</v>
      </c>
      <c r="I36" s="16">
        <f t="shared" ref="I36:M36" si="32">IF(OR(B36="",B35=""),"",B36-B35)</f>
        <v>0</v>
      </c>
      <c r="J36" s="16">
        <f t="shared" si="32"/>
        <v>0</v>
      </c>
      <c r="K36" s="16">
        <f t="shared" si="32"/>
        <v>0</v>
      </c>
      <c r="L36" s="16">
        <f t="shared" si="32"/>
        <v>0</v>
      </c>
      <c r="M36" s="16">
        <f t="shared" si="32"/>
        <v>0</v>
      </c>
    </row>
    <row r="37" ht="15.75" customHeight="1">
      <c r="A37" s="11">
        <v>46207.0</v>
      </c>
      <c r="B37" s="12">
        <v>1521629.0</v>
      </c>
      <c r="C37" s="12">
        <v>405275.0</v>
      </c>
      <c r="D37" s="12">
        <v>985026.0</v>
      </c>
      <c r="E37" s="12">
        <v>57322.0</v>
      </c>
      <c r="F37" s="12">
        <v>17062.0</v>
      </c>
      <c r="G37" s="13">
        <f t="shared" si="1"/>
        <v>2986314</v>
      </c>
      <c r="H37" s="14">
        <v>3000000.0</v>
      </c>
      <c r="I37" s="16">
        <f t="shared" ref="I37:M37" si="33">IF(OR(B37="",B36=""),"",B37-B36)</f>
        <v>0</v>
      </c>
      <c r="J37" s="16">
        <f t="shared" si="33"/>
        <v>0</v>
      </c>
      <c r="K37" s="16">
        <f t="shared" si="33"/>
        <v>0</v>
      </c>
      <c r="L37" s="16">
        <f t="shared" si="33"/>
        <v>0</v>
      </c>
      <c r="M37" s="16">
        <f t="shared" si="33"/>
        <v>0</v>
      </c>
    </row>
    <row r="38" ht="15.75" customHeight="1">
      <c r="A38" s="11">
        <v>46208.0</v>
      </c>
      <c r="B38" s="12">
        <v>1521629.0</v>
      </c>
      <c r="C38" s="12">
        <v>405275.0</v>
      </c>
      <c r="D38" s="12">
        <v>985026.0</v>
      </c>
      <c r="E38" s="12">
        <v>57322.0</v>
      </c>
      <c r="F38" s="12">
        <v>17062.0</v>
      </c>
      <c r="G38" s="13">
        <f t="shared" si="1"/>
        <v>2986314</v>
      </c>
      <c r="H38" s="14">
        <v>3000000.0</v>
      </c>
      <c r="I38" s="16">
        <f t="shared" ref="I38:M38" si="34">IF(OR(B38="",B37=""),"",B38-B37)</f>
        <v>0</v>
      </c>
      <c r="J38" s="16">
        <f t="shared" si="34"/>
        <v>0</v>
      </c>
      <c r="K38" s="16">
        <f t="shared" si="34"/>
        <v>0</v>
      </c>
      <c r="L38" s="16">
        <f t="shared" si="34"/>
        <v>0</v>
      </c>
      <c r="M38" s="16">
        <f t="shared" si="34"/>
        <v>0</v>
      </c>
    </row>
    <row r="39" ht="15.75" customHeight="1">
      <c r="A39" s="11">
        <v>46209.0</v>
      </c>
      <c r="B39" s="12">
        <v>1521629.0</v>
      </c>
      <c r="C39" s="12">
        <v>405275.0</v>
      </c>
      <c r="D39" s="12">
        <v>985026.0</v>
      </c>
      <c r="E39" s="12">
        <v>57322.0</v>
      </c>
      <c r="F39" s="12">
        <v>17062.0</v>
      </c>
      <c r="G39" s="13">
        <f t="shared" si="1"/>
        <v>2986314</v>
      </c>
      <c r="H39" s="14">
        <v>3000000.0</v>
      </c>
      <c r="I39" s="16">
        <f t="shared" ref="I39:M39" si="35">IF(OR(B39="",B38=""),"",B39-B38)</f>
        <v>0</v>
      </c>
      <c r="J39" s="16">
        <f t="shared" si="35"/>
        <v>0</v>
      </c>
      <c r="K39" s="16">
        <f t="shared" si="35"/>
        <v>0</v>
      </c>
      <c r="L39" s="16">
        <f t="shared" si="35"/>
        <v>0</v>
      </c>
      <c r="M39" s="16">
        <f t="shared" si="35"/>
        <v>0</v>
      </c>
    </row>
    <row r="40" ht="15.75" customHeight="1">
      <c r="A40" s="11">
        <v>46210.0</v>
      </c>
      <c r="B40" s="12">
        <v>1521869.0</v>
      </c>
      <c r="C40" s="12">
        <v>405275.0</v>
      </c>
      <c r="D40" s="12">
        <v>985012.0</v>
      </c>
      <c r="E40" s="12">
        <v>57325.0</v>
      </c>
      <c r="F40" s="12">
        <v>17092.0</v>
      </c>
      <c r="G40" s="13">
        <f t="shared" si="1"/>
        <v>2986573</v>
      </c>
      <c r="H40" s="14">
        <v>3000000.0</v>
      </c>
      <c r="I40" s="16">
        <f t="shared" ref="I40:M40" si="36">IF(OR(B40="",B39=""),"",B40-B39)</f>
        <v>240</v>
      </c>
      <c r="J40" s="16">
        <f t="shared" si="36"/>
        <v>0</v>
      </c>
      <c r="K40" s="16">
        <f t="shared" si="36"/>
        <v>-14</v>
      </c>
      <c r="L40" s="16">
        <f t="shared" si="36"/>
        <v>3</v>
      </c>
      <c r="M40" s="16">
        <f t="shared" si="36"/>
        <v>30</v>
      </c>
    </row>
    <row r="41" ht="15.75" customHeight="1">
      <c r="A41" s="11">
        <v>46211.0</v>
      </c>
      <c r="B41" s="12">
        <v>1524123.0</v>
      </c>
      <c r="C41" s="12">
        <v>405210.0</v>
      </c>
      <c r="D41" s="12">
        <v>984941.0</v>
      </c>
      <c r="E41" s="12">
        <v>57387.0</v>
      </c>
      <c r="F41" s="12">
        <v>17115.0</v>
      </c>
      <c r="G41" s="13">
        <f t="shared" si="1"/>
        <v>2988776</v>
      </c>
      <c r="H41" s="14">
        <v>3000000.0</v>
      </c>
      <c r="I41" s="16">
        <f t="shared" ref="I41:M41" si="37">IF(OR(B41="",B40=""),"",B41-B40)</f>
        <v>2254</v>
      </c>
      <c r="J41" s="16">
        <f t="shared" si="37"/>
        <v>-65</v>
      </c>
      <c r="K41" s="16">
        <f t="shared" si="37"/>
        <v>-71</v>
      </c>
      <c r="L41" s="16">
        <f t="shared" si="37"/>
        <v>62</v>
      </c>
      <c r="M41" s="16">
        <f t="shared" si="37"/>
        <v>23</v>
      </c>
    </row>
    <row r="42" ht="15.75" customHeight="1">
      <c r="A42" s="11">
        <v>46212.0</v>
      </c>
      <c r="B42" s="12">
        <v>1524123.0</v>
      </c>
      <c r="C42" s="12">
        <v>405210.0</v>
      </c>
      <c r="D42" s="12">
        <v>984941.0</v>
      </c>
      <c r="E42" s="12">
        <v>57387.0</v>
      </c>
      <c r="F42" s="12">
        <v>17115.0</v>
      </c>
      <c r="G42" s="13">
        <f t="shared" si="1"/>
        <v>2988776</v>
      </c>
      <c r="H42" s="14">
        <v>3000000.0</v>
      </c>
      <c r="I42" s="16">
        <f t="shared" ref="I42:M42" si="38">IF(OR(B42="",B41=""),"",B42-B41)</f>
        <v>0</v>
      </c>
      <c r="J42" s="16">
        <f t="shared" si="38"/>
        <v>0</v>
      </c>
      <c r="K42" s="16">
        <f t="shared" si="38"/>
        <v>0</v>
      </c>
      <c r="L42" s="16">
        <f t="shared" si="38"/>
        <v>0</v>
      </c>
      <c r="M42" s="16">
        <f t="shared" si="38"/>
        <v>0</v>
      </c>
    </row>
    <row r="43" ht="15.75" customHeight="1">
      <c r="A43" s="11">
        <v>46213.0</v>
      </c>
      <c r="B43" s="12">
        <v>1524123.0</v>
      </c>
      <c r="C43" s="12">
        <v>405210.0</v>
      </c>
      <c r="D43" s="12">
        <v>984941.0</v>
      </c>
      <c r="E43" s="12">
        <v>57387.0</v>
      </c>
      <c r="F43" s="12">
        <v>17115.0</v>
      </c>
      <c r="G43" s="13">
        <f t="shared" si="1"/>
        <v>2988776</v>
      </c>
      <c r="H43" s="14">
        <v>3000000.0</v>
      </c>
      <c r="I43" s="16">
        <f t="shared" ref="I43:M43" si="39">IF(OR(B43="",B42=""),"",B43-B42)</f>
        <v>0</v>
      </c>
      <c r="J43" s="16">
        <f t="shared" si="39"/>
        <v>0</v>
      </c>
      <c r="K43" s="16">
        <f t="shared" si="39"/>
        <v>0</v>
      </c>
      <c r="L43" s="16">
        <f t="shared" si="39"/>
        <v>0</v>
      </c>
      <c r="M43" s="16">
        <f t="shared" si="39"/>
        <v>0</v>
      </c>
    </row>
    <row r="44" ht="15.75" customHeight="1">
      <c r="A44" s="11">
        <v>46214.0</v>
      </c>
      <c r="B44" s="12">
        <v>1524123.0</v>
      </c>
      <c r="C44" s="12">
        <v>405210.0</v>
      </c>
      <c r="D44" s="12">
        <v>984941.0</v>
      </c>
      <c r="E44" s="12">
        <v>57387.0</v>
      </c>
      <c r="F44" s="12">
        <v>17115.0</v>
      </c>
      <c r="G44" s="13">
        <f t="shared" si="1"/>
        <v>2988776</v>
      </c>
      <c r="H44" s="14">
        <v>3000000.0</v>
      </c>
      <c r="I44" s="16">
        <f t="shared" ref="I44:M44" si="40">IF(OR(B44="",B43=""),"",B44-B43)</f>
        <v>0</v>
      </c>
      <c r="J44" s="16">
        <f t="shared" si="40"/>
        <v>0</v>
      </c>
      <c r="K44" s="16">
        <f t="shared" si="40"/>
        <v>0</v>
      </c>
      <c r="L44" s="16">
        <f t="shared" si="40"/>
        <v>0</v>
      </c>
      <c r="M44" s="16">
        <f t="shared" si="40"/>
        <v>0</v>
      </c>
    </row>
    <row r="45" ht="15.75" customHeight="1">
      <c r="A45" s="11">
        <v>46215.0</v>
      </c>
      <c r="B45" s="12">
        <v>1524283.0</v>
      </c>
      <c r="C45" s="12">
        <v>405210.0</v>
      </c>
      <c r="D45" s="12">
        <v>984941.0</v>
      </c>
      <c r="E45" s="12">
        <v>57387.0</v>
      </c>
      <c r="F45" s="12">
        <v>17115.0</v>
      </c>
      <c r="G45" s="13">
        <f t="shared" si="1"/>
        <v>2988936</v>
      </c>
      <c r="H45" s="14">
        <v>3000000.0</v>
      </c>
      <c r="I45" s="16">
        <f t="shared" ref="I45:M45" si="41">IF(OR(B45="",B44=""),"",B45-B44)</f>
        <v>160</v>
      </c>
      <c r="J45" s="16">
        <f t="shared" si="41"/>
        <v>0</v>
      </c>
      <c r="K45" s="16">
        <f t="shared" si="41"/>
        <v>0</v>
      </c>
      <c r="L45" s="16">
        <f t="shared" si="41"/>
        <v>0</v>
      </c>
      <c r="M45" s="16">
        <f t="shared" si="41"/>
        <v>0</v>
      </c>
    </row>
    <row r="46" ht="15.75" customHeight="1">
      <c r="A46" s="11">
        <v>46216.0</v>
      </c>
      <c r="B46" s="12">
        <v>1524283.0</v>
      </c>
      <c r="C46" s="12">
        <v>405210.0</v>
      </c>
      <c r="D46" s="12">
        <v>984941.0</v>
      </c>
      <c r="E46" s="12">
        <v>57387.0</v>
      </c>
      <c r="F46" s="12">
        <v>17115.0</v>
      </c>
      <c r="G46" s="13">
        <f t="shared" si="1"/>
        <v>2988936</v>
      </c>
      <c r="H46" s="14">
        <v>3000000.0</v>
      </c>
      <c r="I46" s="16">
        <f t="shared" ref="I46:M46" si="42">IF(OR(B46="",B45=""),"",B46-B45)</f>
        <v>0</v>
      </c>
      <c r="J46" s="16">
        <f t="shared" si="42"/>
        <v>0</v>
      </c>
      <c r="K46" s="16">
        <f t="shared" si="42"/>
        <v>0</v>
      </c>
      <c r="L46" s="16">
        <f t="shared" si="42"/>
        <v>0</v>
      </c>
      <c r="M46" s="16">
        <f t="shared" si="42"/>
        <v>0</v>
      </c>
    </row>
    <row r="47" ht="15.75" customHeight="1">
      <c r="A47" s="11">
        <v>46217.0</v>
      </c>
      <c r="B47" s="12">
        <v>1524283.0</v>
      </c>
      <c r="C47" s="12">
        <v>405192.0</v>
      </c>
      <c r="D47" s="12">
        <v>984941.0</v>
      </c>
      <c r="E47" s="12">
        <v>57387.0</v>
      </c>
      <c r="F47" s="12">
        <v>17115.0</v>
      </c>
      <c r="G47" s="13">
        <f t="shared" si="1"/>
        <v>2988918</v>
      </c>
      <c r="H47" s="14">
        <v>3000000.0</v>
      </c>
      <c r="I47" s="16">
        <f t="shared" ref="I47:M47" si="43">IF(OR(B47="",B46=""),"",B47-B46)</f>
        <v>0</v>
      </c>
      <c r="J47" s="16">
        <f t="shared" si="43"/>
        <v>-18</v>
      </c>
      <c r="K47" s="16">
        <f t="shared" si="43"/>
        <v>0</v>
      </c>
      <c r="L47" s="16">
        <f t="shared" si="43"/>
        <v>0</v>
      </c>
      <c r="M47" s="16">
        <f t="shared" si="43"/>
        <v>0</v>
      </c>
    </row>
    <row r="48" ht="15.75" customHeight="1">
      <c r="A48" s="11">
        <v>46218.0</v>
      </c>
      <c r="B48" s="12">
        <v>1524283.0</v>
      </c>
      <c r="C48" s="12">
        <v>405192.0</v>
      </c>
      <c r="D48" s="12">
        <v>984941.0</v>
      </c>
      <c r="E48" s="12">
        <v>57387.0</v>
      </c>
      <c r="F48" s="12">
        <v>17115.0</v>
      </c>
      <c r="G48" s="13">
        <f t="shared" si="1"/>
        <v>2988918</v>
      </c>
      <c r="H48" s="14">
        <v>3000000.0</v>
      </c>
      <c r="I48" s="16">
        <f t="shared" ref="I48:M48" si="44">IF(OR(B48="",B47=""),"",B48-B47)</f>
        <v>0</v>
      </c>
      <c r="J48" s="16">
        <f t="shared" si="44"/>
        <v>0</v>
      </c>
      <c r="K48" s="16">
        <f t="shared" si="44"/>
        <v>0</v>
      </c>
      <c r="L48" s="16">
        <f t="shared" si="44"/>
        <v>0</v>
      </c>
      <c r="M48" s="16">
        <f t="shared" si="44"/>
        <v>0</v>
      </c>
    </row>
    <row r="49" ht="15.75" customHeight="1">
      <c r="A49" s="11">
        <v>46219.0</v>
      </c>
      <c r="B49" s="12">
        <v>1524283.0</v>
      </c>
      <c r="C49" s="12">
        <v>405192.0</v>
      </c>
      <c r="D49" s="12">
        <v>984941.0</v>
      </c>
      <c r="E49" s="12">
        <v>57387.0</v>
      </c>
      <c r="F49" s="12">
        <v>17115.0</v>
      </c>
      <c r="G49" s="13">
        <f t="shared" si="1"/>
        <v>2988918</v>
      </c>
      <c r="H49" s="14">
        <v>3000000.0</v>
      </c>
      <c r="I49" s="16">
        <f t="shared" ref="I49:M49" si="45">IF(OR(B49="",B48=""),"",B49-B48)</f>
        <v>0</v>
      </c>
      <c r="J49" s="16">
        <f t="shared" si="45"/>
        <v>0</v>
      </c>
      <c r="K49" s="16">
        <f t="shared" si="45"/>
        <v>0</v>
      </c>
      <c r="L49" s="16">
        <f t="shared" si="45"/>
        <v>0</v>
      </c>
      <c r="M49" s="16">
        <f t="shared" si="45"/>
        <v>0</v>
      </c>
    </row>
    <row r="50" ht="15.75" customHeight="1">
      <c r="A50" s="11">
        <v>46220.0</v>
      </c>
      <c r="B50" s="12">
        <v>1524283.0</v>
      </c>
      <c r="C50" s="12">
        <v>405192.0</v>
      </c>
      <c r="D50" s="12">
        <v>984941.0</v>
      </c>
      <c r="E50" s="12">
        <v>57387.0</v>
      </c>
      <c r="F50" s="12">
        <v>17115.0</v>
      </c>
      <c r="G50" s="13">
        <f t="shared" si="1"/>
        <v>2988918</v>
      </c>
      <c r="H50" s="14">
        <v>3000000.0</v>
      </c>
      <c r="I50" s="16">
        <f t="shared" ref="I50:M50" si="46">IF(OR(B50="",B49=""),"",B50-B49)</f>
        <v>0</v>
      </c>
      <c r="J50" s="16">
        <f t="shared" si="46"/>
        <v>0</v>
      </c>
      <c r="K50" s="16">
        <f t="shared" si="46"/>
        <v>0</v>
      </c>
      <c r="L50" s="16">
        <f t="shared" si="46"/>
        <v>0</v>
      </c>
      <c r="M50" s="16">
        <f t="shared" si="46"/>
        <v>0</v>
      </c>
    </row>
    <row r="51" ht="15.75" customHeight="1">
      <c r="A51" s="11">
        <v>46221.0</v>
      </c>
      <c r="B51" s="12">
        <v>1524283.0</v>
      </c>
      <c r="C51" s="12">
        <v>405192.0</v>
      </c>
      <c r="D51" s="12">
        <v>984941.0</v>
      </c>
      <c r="E51" s="12">
        <v>57387.0</v>
      </c>
      <c r="F51" s="12">
        <v>17115.0</v>
      </c>
      <c r="G51" s="13">
        <f t="shared" si="1"/>
        <v>2988918</v>
      </c>
      <c r="H51" s="14">
        <v>3000000.0</v>
      </c>
      <c r="I51" s="16">
        <f t="shared" ref="I51:M51" si="47">IF(OR(B51="",B50=""),"",B51-B50)</f>
        <v>0</v>
      </c>
      <c r="J51" s="16">
        <f t="shared" si="47"/>
        <v>0</v>
      </c>
      <c r="K51" s="16">
        <f t="shared" si="47"/>
        <v>0</v>
      </c>
      <c r="L51" s="16">
        <f t="shared" si="47"/>
        <v>0</v>
      </c>
      <c r="M51" s="16">
        <f t="shared" si="47"/>
        <v>0</v>
      </c>
    </row>
    <row r="52" ht="15.75" customHeight="1">
      <c r="A52" s="11">
        <v>46222.0</v>
      </c>
      <c r="B52" s="12">
        <v>1524283.0</v>
      </c>
      <c r="C52" s="12">
        <v>405192.0</v>
      </c>
      <c r="D52" s="12">
        <v>984941.0</v>
      </c>
      <c r="E52" s="12">
        <v>57387.0</v>
      </c>
      <c r="F52" s="12">
        <v>17115.0</v>
      </c>
      <c r="G52" s="13">
        <f t="shared" si="1"/>
        <v>2988918</v>
      </c>
      <c r="H52" s="14">
        <v>3000000.0</v>
      </c>
      <c r="I52" s="16">
        <f t="shared" ref="I52:M52" si="48">IF(OR(B52="",B51=""),"",B52-B51)</f>
        <v>0</v>
      </c>
      <c r="J52" s="16">
        <f t="shared" si="48"/>
        <v>0</v>
      </c>
      <c r="K52" s="16">
        <f t="shared" si="48"/>
        <v>0</v>
      </c>
      <c r="L52" s="16">
        <f t="shared" si="48"/>
        <v>0</v>
      </c>
      <c r="M52" s="16">
        <f t="shared" si="48"/>
        <v>0</v>
      </c>
    </row>
    <row r="53" ht="15.75" customHeight="1">
      <c r="A53" s="11">
        <v>46223.0</v>
      </c>
      <c r="B53" s="12">
        <v>1524283.0</v>
      </c>
      <c r="C53" s="12">
        <v>405192.0</v>
      </c>
      <c r="D53" s="12">
        <v>984941.0</v>
      </c>
      <c r="E53" s="12">
        <v>57387.0</v>
      </c>
      <c r="F53" s="12">
        <v>17115.0</v>
      </c>
      <c r="G53" s="13">
        <f t="shared" si="1"/>
        <v>2988918</v>
      </c>
      <c r="H53" s="14">
        <v>3000000.0</v>
      </c>
      <c r="I53" s="16">
        <f t="shared" ref="I53:M53" si="49">IF(OR(B53="",B52=""),"",B53-B52)</f>
        <v>0</v>
      </c>
      <c r="J53" s="16">
        <f t="shared" si="49"/>
        <v>0</v>
      </c>
      <c r="K53" s="16">
        <f t="shared" si="49"/>
        <v>0</v>
      </c>
      <c r="L53" s="16">
        <f t="shared" si="49"/>
        <v>0</v>
      </c>
      <c r="M53" s="16">
        <f t="shared" si="49"/>
        <v>0</v>
      </c>
    </row>
    <row r="54" ht="15.75" customHeight="1">
      <c r="A54" s="11">
        <v>46224.0</v>
      </c>
      <c r="B54" s="12">
        <v>1526994.0</v>
      </c>
      <c r="C54" s="12">
        <v>405133.0</v>
      </c>
      <c r="D54" s="12">
        <v>984745.0</v>
      </c>
      <c r="E54" s="12">
        <v>57527.0</v>
      </c>
      <c r="F54" s="12">
        <v>17144.0</v>
      </c>
      <c r="G54" s="13">
        <f t="shared" si="1"/>
        <v>2991543</v>
      </c>
      <c r="H54" s="14">
        <v>3000000.0</v>
      </c>
      <c r="I54" s="16">
        <f t="shared" ref="I54:M54" si="50">IF(OR(B54="",B53=""),"",B54-B53)</f>
        <v>2711</v>
      </c>
      <c r="J54" s="16">
        <f t="shared" si="50"/>
        <v>-59</v>
      </c>
      <c r="K54" s="16">
        <f t="shared" si="50"/>
        <v>-196</v>
      </c>
      <c r="L54" s="16">
        <f t="shared" si="50"/>
        <v>140</v>
      </c>
      <c r="M54" s="16">
        <f t="shared" si="50"/>
        <v>29</v>
      </c>
    </row>
    <row r="55" ht="15.75" customHeight="1">
      <c r="A55" s="11">
        <v>46225.0</v>
      </c>
      <c r="B55" s="12">
        <v>1526994.0</v>
      </c>
      <c r="C55" s="12">
        <v>405133.0</v>
      </c>
      <c r="D55" s="12">
        <v>984745.0</v>
      </c>
      <c r="E55" s="12">
        <v>57527.0</v>
      </c>
      <c r="F55" s="12">
        <v>17144.0</v>
      </c>
      <c r="G55" s="13">
        <f t="shared" si="1"/>
        <v>2991543</v>
      </c>
      <c r="H55" s="14">
        <v>3000000.0</v>
      </c>
      <c r="I55" s="16">
        <f t="shared" ref="I55:M55" si="51">IF(OR(B55="",B54=""),"",B55-B54)</f>
        <v>0</v>
      </c>
      <c r="J55" s="16">
        <f t="shared" si="51"/>
        <v>0</v>
      </c>
      <c r="K55" s="16">
        <f t="shared" si="51"/>
        <v>0</v>
      </c>
      <c r="L55" s="16">
        <f t="shared" si="51"/>
        <v>0</v>
      </c>
      <c r="M55" s="16">
        <f t="shared" si="51"/>
        <v>0</v>
      </c>
    </row>
    <row r="56" ht="15.75" customHeight="1">
      <c r="A56" s="11">
        <v>46226.0</v>
      </c>
      <c r="B56" s="12">
        <v>1526994.0</v>
      </c>
      <c r="C56" s="12">
        <v>405133.0</v>
      </c>
      <c r="D56" s="12">
        <v>984745.0</v>
      </c>
      <c r="E56" s="12">
        <v>57527.0</v>
      </c>
      <c r="F56" s="12">
        <v>17144.0</v>
      </c>
      <c r="G56" s="13">
        <f t="shared" si="1"/>
        <v>2991543</v>
      </c>
      <c r="H56" s="14">
        <v>3000000.0</v>
      </c>
      <c r="I56" s="16">
        <f t="shared" ref="I56:M56" si="52">IF(OR(B56="",B55=""),"",B56-B55)</f>
        <v>0</v>
      </c>
      <c r="J56" s="16">
        <f t="shared" si="52"/>
        <v>0</v>
      </c>
      <c r="K56" s="16">
        <f t="shared" si="52"/>
        <v>0</v>
      </c>
      <c r="L56" s="16">
        <f t="shared" si="52"/>
        <v>0</v>
      </c>
      <c r="M56" s="16">
        <f t="shared" si="52"/>
        <v>0</v>
      </c>
    </row>
    <row r="57" ht="15.75" customHeight="1">
      <c r="A57" s="11">
        <v>46227.0</v>
      </c>
      <c r="B57" s="12">
        <v>1526994.0</v>
      </c>
      <c r="C57" s="12">
        <v>405133.0</v>
      </c>
      <c r="D57" s="12">
        <v>984745.0</v>
      </c>
      <c r="E57" s="12">
        <v>57527.0</v>
      </c>
      <c r="F57" s="12">
        <v>17144.0</v>
      </c>
      <c r="G57" s="13">
        <f t="shared" si="1"/>
        <v>2991543</v>
      </c>
      <c r="H57" s="14">
        <v>3000000.0</v>
      </c>
      <c r="I57" s="16">
        <f t="shared" ref="I57:M57" si="53">IF(OR(B57="",B56=""),"",B57-B56)</f>
        <v>0</v>
      </c>
      <c r="J57" s="16">
        <f t="shared" si="53"/>
        <v>0</v>
      </c>
      <c r="K57" s="16">
        <f t="shared" si="53"/>
        <v>0</v>
      </c>
      <c r="L57" s="16">
        <f t="shared" si="53"/>
        <v>0</v>
      </c>
      <c r="M57" s="16">
        <f t="shared" si="53"/>
        <v>0</v>
      </c>
    </row>
    <row r="58" ht="15.75" customHeight="1">
      <c r="A58" s="11">
        <v>46228.0</v>
      </c>
      <c r="B58" s="12">
        <v>1526994.0</v>
      </c>
      <c r="C58" s="12">
        <v>405133.0</v>
      </c>
      <c r="D58" s="12">
        <v>984745.0</v>
      </c>
      <c r="E58" s="12">
        <v>57527.0</v>
      </c>
      <c r="F58" s="12">
        <v>17144.0</v>
      </c>
      <c r="G58" s="13">
        <f t="shared" si="1"/>
        <v>2991543</v>
      </c>
      <c r="H58" s="14">
        <v>3000000.0</v>
      </c>
      <c r="I58" s="16">
        <f t="shared" ref="I58:M58" si="54">IF(OR(B58="",B57=""),"",B58-B57)</f>
        <v>0</v>
      </c>
      <c r="J58" s="16">
        <f t="shared" si="54"/>
        <v>0</v>
      </c>
      <c r="K58" s="16">
        <f t="shared" si="54"/>
        <v>0</v>
      </c>
      <c r="L58" s="16">
        <f t="shared" si="54"/>
        <v>0</v>
      </c>
      <c r="M58" s="16">
        <f t="shared" si="54"/>
        <v>0</v>
      </c>
    </row>
    <row r="59" ht="15.75" customHeight="1">
      <c r="A59" s="11">
        <v>46229.0</v>
      </c>
      <c r="B59" s="12">
        <v>1526994.0</v>
      </c>
      <c r="C59" s="12">
        <v>405133.0</v>
      </c>
      <c r="D59" s="12">
        <v>984745.0</v>
      </c>
      <c r="E59" s="12">
        <v>57527.0</v>
      </c>
      <c r="F59" s="12">
        <v>17144.0</v>
      </c>
      <c r="G59" s="13">
        <f t="shared" si="1"/>
        <v>2991543</v>
      </c>
      <c r="H59" s="14">
        <v>3000000.0</v>
      </c>
      <c r="I59" s="16">
        <f t="shared" ref="I59:M59" si="55">IF(OR(B59="",B58=""),"",B59-B58)</f>
        <v>0</v>
      </c>
      <c r="J59" s="16">
        <f t="shared" si="55"/>
        <v>0</v>
      </c>
      <c r="K59" s="16">
        <f t="shared" si="55"/>
        <v>0</v>
      </c>
      <c r="L59" s="16">
        <f t="shared" si="55"/>
        <v>0</v>
      </c>
      <c r="M59" s="16">
        <f t="shared" si="55"/>
        <v>0</v>
      </c>
    </row>
    <row r="60" ht="15.75" customHeight="1">
      <c r="A60" s="11">
        <v>46230.0</v>
      </c>
      <c r="B60" s="12">
        <v>1526994.0</v>
      </c>
      <c r="C60" s="12">
        <v>405133.0</v>
      </c>
      <c r="D60" s="12">
        <v>984745.0</v>
      </c>
      <c r="E60" s="12">
        <v>57527.0</v>
      </c>
      <c r="F60" s="12">
        <v>17144.0</v>
      </c>
      <c r="G60" s="13">
        <f t="shared" si="1"/>
        <v>2991543</v>
      </c>
      <c r="H60" s="14">
        <v>3000000.0</v>
      </c>
      <c r="I60" s="16">
        <f t="shared" ref="I60:M60" si="56">IF(OR(B60="",B59=""),"",B60-B59)</f>
        <v>0</v>
      </c>
      <c r="J60" s="16">
        <f t="shared" si="56"/>
        <v>0</v>
      </c>
      <c r="K60" s="16">
        <f t="shared" si="56"/>
        <v>0</v>
      </c>
      <c r="L60" s="16">
        <f t="shared" si="56"/>
        <v>0</v>
      </c>
      <c r="M60" s="16">
        <f t="shared" si="56"/>
        <v>0</v>
      </c>
    </row>
    <row r="61" ht="15.75" customHeight="1">
      <c r="A61" s="11">
        <v>46231.0</v>
      </c>
      <c r="B61" s="12">
        <v>1526994.0</v>
      </c>
      <c r="C61" s="12">
        <v>405133.0</v>
      </c>
      <c r="D61" s="12">
        <v>984745.0</v>
      </c>
      <c r="E61" s="12">
        <v>57527.0</v>
      </c>
      <c r="F61" s="12">
        <v>17144.0</v>
      </c>
      <c r="G61" s="13">
        <f t="shared" si="1"/>
        <v>2991543</v>
      </c>
      <c r="H61" s="14">
        <v>3000000.0</v>
      </c>
      <c r="I61" s="16">
        <f t="shared" ref="I61:M61" si="57">IF(OR(B61="",B60=""),"",B61-B60)</f>
        <v>0</v>
      </c>
      <c r="J61" s="16">
        <f t="shared" si="57"/>
        <v>0</v>
      </c>
      <c r="K61" s="16">
        <f t="shared" si="57"/>
        <v>0</v>
      </c>
      <c r="L61" s="16">
        <f t="shared" si="57"/>
        <v>0</v>
      </c>
      <c r="M61" s="16">
        <f t="shared" si="57"/>
        <v>0</v>
      </c>
    </row>
    <row r="62" ht="15.75" customHeight="1">
      <c r="A62" s="11">
        <v>46232.0</v>
      </c>
      <c r="B62" s="12">
        <v>1528270.0</v>
      </c>
      <c r="C62" s="12">
        <v>405046.0</v>
      </c>
      <c r="D62" s="12">
        <v>984435.0</v>
      </c>
      <c r="E62" s="12">
        <v>57625.0</v>
      </c>
      <c r="F62" s="12">
        <v>17204.0</v>
      </c>
      <c r="G62" s="13">
        <f t="shared" si="1"/>
        <v>2992580</v>
      </c>
      <c r="H62" s="14">
        <v>3000000.0</v>
      </c>
      <c r="I62" s="16">
        <f t="shared" ref="I62:M62" si="58">IF(OR(B62="",B61=""),"",B62-B61)</f>
        <v>1276</v>
      </c>
      <c r="J62" s="16">
        <f t="shared" si="58"/>
        <v>-87</v>
      </c>
      <c r="K62" s="16">
        <f t="shared" si="58"/>
        <v>-310</v>
      </c>
      <c r="L62" s="16">
        <f t="shared" si="58"/>
        <v>98</v>
      </c>
      <c r="M62" s="16">
        <f t="shared" si="58"/>
        <v>60</v>
      </c>
    </row>
    <row r="63" ht="15.75" customHeight="1">
      <c r="A63" s="11">
        <v>46233.0</v>
      </c>
      <c r="B63" s="12">
        <v>1528270.0</v>
      </c>
      <c r="C63" s="12">
        <v>405046.0</v>
      </c>
      <c r="D63" s="12">
        <v>984435.0</v>
      </c>
      <c r="E63" s="12">
        <v>57625.0</v>
      </c>
      <c r="F63" s="12">
        <v>17204.0</v>
      </c>
      <c r="G63" s="13">
        <f t="shared" si="1"/>
        <v>2992580</v>
      </c>
      <c r="H63" s="14">
        <v>3000000.0</v>
      </c>
      <c r="I63" s="16">
        <f t="shared" ref="I63:M63" si="59">IF(OR(B63="",B62=""),"",B63-B62)</f>
        <v>0</v>
      </c>
      <c r="J63" s="16">
        <f t="shared" si="59"/>
        <v>0</v>
      </c>
      <c r="K63" s="16">
        <f t="shared" si="59"/>
        <v>0</v>
      </c>
      <c r="L63" s="16">
        <f t="shared" si="59"/>
        <v>0</v>
      </c>
      <c r="M63" s="16">
        <f t="shared" si="59"/>
        <v>0</v>
      </c>
    </row>
    <row r="64" ht="15.75" customHeight="1">
      <c r="A64" s="11">
        <v>46234.0</v>
      </c>
      <c r="B64" s="12">
        <v>1528270.0</v>
      </c>
      <c r="C64" s="12">
        <v>405046.0</v>
      </c>
      <c r="D64" s="12">
        <v>984435.0</v>
      </c>
      <c r="E64" s="12">
        <v>57625.0</v>
      </c>
      <c r="F64" s="12">
        <v>17204.0</v>
      </c>
      <c r="G64" s="13">
        <f t="shared" si="1"/>
        <v>2992580</v>
      </c>
      <c r="H64" s="14">
        <v>3000000.0</v>
      </c>
      <c r="I64" s="16">
        <f t="shared" ref="I64:M64" si="60">IF(OR(B64="",B63=""),"",B64-B63)</f>
        <v>0</v>
      </c>
      <c r="J64" s="16">
        <f t="shared" si="60"/>
        <v>0</v>
      </c>
      <c r="K64" s="16">
        <f t="shared" si="60"/>
        <v>0</v>
      </c>
      <c r="L64" s="16">
        <f t="shared" si="60"/>
        <v>0</v>
      </c>
      <c r="M64" s="16">
        <f t="shared" si="60"/>
        <v>0</v>
      </c>
    </row>
    <row r="65" ht="15.75" customHeight="1">
      <c r="A65" s="11">
        <v>46235.0</v>
      </c>
      <c r="B65" s="12">
        <v>1528270.0</v>
      </c>
      <c r="C65" s="12">
        <v>405046.0</v>
      </c>
      <c r="D65" s="12">
        <v>984435.0</v>
      </c>
      <c r="E65" s="12">
        <v>57625.0</v>
      </c>
      <c r="F65" s="12">
        <v>17204.0</v>
      </c>
      <c r="G65" s="13">
        <f t="shared" si="1"/>
        <v>2992580</v>
      </c>
      <c r="H65" s="14">
        <v>3000000.0</v>
      </c>
      <c r="I65" s="16">
        <f t="shared" ref="I65:M65" si="61">IF(OR(B65="",B64=""),"",B65-B64)</f>
        <v>0</v>
      </c>
      <c r="J65" s="16">
        <f t="shared" si="61"/>
        <v>0</v>
      </c>
      <c r="K65" s="16">
        <f t="shared" si="61"/>
        <v>0</v>
      </c>
      <c r="L65" s="16">
        <f t="shared" si="61"/>
        <v>0</v>
      </c>
      <c r="M65" s="16">
        <f t="shared" si="61"/>
        <v>0</v>
      </c>
    </row>
    <row r="66" ht="15.75" customHeight="1">
      <c r="A66" s="11">
        <v>46236.0</v>
      </c>
      <c r="B66" s="12">
        <v>1528270.0</v>
      </c>
      <c r="C66" s="12">
        <v>405046.0</v>
      </c>
      <c r="D66" s="12">
        <v>984435.0</v>
      </c>
      <c r="E66" s="12">
        <v>57625.0</v>
      </c>
      <c r="F66" s="12">
        <v>17204.0</v>
      </c>
      <c r="G66" s="13">
        <f t="shared" si="1"/>
        <v>2992580</v>
      </c>
      <c r="H66" s="14">
        <v>3000000.0</v>
      </c>
      <c r="I66" s="16">
        <f t="shared" ref="I66:M66" si="62">IF(OR(B66="",B65=""),"",B66-B65)</f>
        <v>0</v>
      </c>
      <c r="J66" s="16">
        <f t="shared" si="62"/>
        <v>0</v>
      </c>
      <c r="K66" s="16">
        <f t="shared" si="62"/>
        <v>0</v>
      </c>
      <c r="L66" s="16">
        <f t="shared" si="62"/>
        <v>0</v>
      </c>
      <c r="M66" s="16">
        <f t="shared" si="62"/>
        <v>0</v>
      </c>
    </row>
    <row r="67" ht="15.75" customHeight="1">
      <c r="A67" s="11">
        <v>46237.0</v>
      </c>
      <c r="B67" s="12">
        <v>1528270.0</v>
      </c>
      <c r="C67" s="12">
        <v>405046.0</v>
      </c>
      <c r="D67" s="12">
        <v>984435.0</v>
      </c>
      <c r="E67" s="12">
        <v>57625.0</v>
      </c>
      <c r="F67" s="12">
        <v>17204.0</v>
      </c>
      <c r="G67" s="13">
        <f t="shared" si="1"/>
        <v>2992580</v>
      </c>
      <c r="H67" s="14">
        <v>3000000.0</v>
      </c>
      <c r="I67" s="16">
        <f t="shared" ref="I67:M67" si="63">IF(OR(B67="",B66=""),"",B67-B66)</f>
        <v>0</v>
      </c>
      <c r="J67" s="16">
        <f t="shared" si="63"/>
        <v>0</v>
      </c>
      <c r="K67" s="16">
        <f t="shared" si="63"/>
        <v>0</v>
      </c>
      <c r="L67" s="16">
        <f t="shared" si="63"/>
        <v>0</v>
      </c>
      <c r="M67" s="16">
        <f t="shared" si="63"/>
        <v>0</v>
      </c>
    </row>
    <row r="68" ht="15.75" customHeight="1">
      <c r="A68" s="11">
        <v>46238.0</v>
      </c>
      <c r="B68" s="34">
        <v>1530614.0</v>
      </c>
      <c r="C68" s="34">
        <v>405232.0</v>
      </c>
      <c r="D68" s="34">
        <v>984293.0</v>
      </c>
      <c r="E68" s="34">
        <v>57739.0</v>
      </c>
      <c r="F68" s="34">
        <v>17242.0</v>
      </c>
      <c r="G68" s="13">
        <f t="shared" si="1"/>
        <v>2995120</v>
      </c>
      <c r="H68" s="14">
        <v>3000000.0</v>
      </c>
      <c r="I68" s="16">
        <f t="shared" ref="I68:M68" si="64">IF(OR(B68="",B67=""),"",B68-B67)</f>
        <v>2344</v>
      </c>
      <c r="J68" s="16">
        <f t="shared" si="64"/>
        <v>186</v>
      </c>
      <c r="K68" s="16">
        <f t="shared" si="64"/>
        <v>-142</v>
      </c>
      <c r="L68" s="16">
        <f t="shared" si="64"/>
        <v>114</v>
      </c>
      <c r="M68" s="16">
        <f t="shared" si="64"/>
        <v>38</v>
      </c>
    </row>
    <row r="69" ht="15.75" customHeight="1">
      <c r="A69" s="11">
        <v>46239.0</v>
      </c>
      <c r="B69" s="34">
        <v>1533669.0</v>
      </c>
      <c r="C69" s="34">
        <v>405430.0</v>
      </c>
      <c r="D69" s="34">
        <v>984179.0</v>
      </c>
      <c r="E69" s="34">
        <v>57889.0</v>
      </c>
      <c r="F69" s="34">
        <v>17277.0</v>
      </c>
      <c r="G69" s="13">
        <f t="shared" si="1"/>
        <v>2998444</v>
      </c>
      <c r="H69" s="14">
        <v>3000000.0</v>
      </c>
      <c r="I69" s="16">
        <f t="shared" ref="I69:M69" si="65">IF(OR(B69="",B68=""),"",B69-B68)</f>
        <v>3055</v>
      </c>
      <c r="J69" s="16">
        <f t="shared" si="65"/>
        <v>198</v>
      </c>
      <c r="K69" s="16">
        <f t="shared" si="65"/>
        <v>-114</v>
      </c>
      <c r="L69" s="16">
        <f t="shared" si="65"/>
        <v>150</v>
      </c>
      <c r="M69" s="16">
        <f t="shared" si="65"/>
        <v>35</v>
      </c>
    </row>
    <row r="70" ht="15.75" customHeight="1">
      <c r="A70" s="11">
        <v>46240.0</v>
      </c>
      <c r="B70" s="34">
        <v>1533669.0</v>
      </c>
      <c r="C70" s="34">
        <v>405430.0</v>
      </c>
      <c r="D70" s="34">
        <v>984179.0</v>
      </c>
      <c r="E70" s="34">
        <v>57889.0</v>
      </c>
      <c r="F70" s="34">
        <v>17277.0</v>
      </c>
      <c r="G70" s="13">
        <f t="shared" si="1"/>
        <v>2998444</v>
      </c>
      <c r="H70" s="14">
        <v>3000000.0</v>
      </c>
      <c r="I70" s="16">
        <f t="shared" ref="I70:M70" si="66">IF(OR(B70="",B69=""),"",B70-B69)</f>
        <v>0</v>
      </c>
      <c r="J70" s="16">
        <f t="shared" si="66"/>
        <v>0</v>
      </c>
      <c r="K70" s="16">
        <f t="shared" si="66"/>
        <v>0</v>
      </c>
      <c r="L70" s="16">
        <f t="shared" si="66"/>
        <v>0</v>
      </c>
      <c r="M70" s="16">
        <f t="shared" si="66"/>
        <v>0</v>
      </c>
    </row>
    <row r="71" ht="15.75" customHeight="1">
      <c r="A71" s="11">
        <v>46241.0</v>
      </c>
      <c r="B71" s="34">
        <v>1533669.0</v>
      </c>
      <c r="C71" s="34">
        <v>405430.0</v>
      </c>
      <c r="D71" s="34">
        <v>984179.0</v>
      </c>
      <c r="E71" s="34">
        <v>57889.0</v>
      </c>
      <c r="F71" s="34">
        <v>17277.0</v>
      </c>
      <c r="G71" s="13">
        <f t="shared" si="1"/>
        <v>2998444</v>
      </c>
      <c r="H71" s="14">
        <v>3000000.0</v>
      </c>
      <c r="I71" s="16">
        <f t="shared" ref="I71:M71" si="67">IF(OR(B71="",B70=""),"",B71-B70)</f>
        <v>0</v>
      </c>
      <c r="J71" s="16">
        <f t="shared" si="67"/>
        <v>0</v>
      </c>
      <c r="K71" s="16">
        <f t="shared" si="67"/>
        <v>0</v>
      </c>
      <c r="L71" s="16">
        <f t="shared" si="67"/>
        <v>0</v>
      </c>
      <c r="M71" s="16">
        <f t="shared" si="67"/>
        <v>0</v>
      </c>
    </row>
    <row r="72" ht="15.75" customHeight="1">
      <c r="A72" s="11">
        <v>46242.0</v>
      </c>
      <c r="B72" s="34">
        <v>1533669.0</v>
      </c>
      <c r="C72" s="34">
        <v>405430.0</v>
      </c>
      <c r="D72" s="34">
        <v>984179.0</v>
      </c>
      <c r="E72" s="34">
        <v>57889.0</v>
      </c>
      <c r="F72" s="34">
        <v>17277.0</v>
      </c>
      <c r="G72" s="13">
        <f t="shared" si="1"/>
        <v>2998444</v>
      </c>
      <c r="H72" s="14">
        <v>3000000.0</v>
      </c>
      <c r="I72" s="16">
        <f t="shared" ref="I72:M72" si="68">IF(OR(B72="",B71=""),"",B72-B71)</f>
        <v>0</v>
      </c>
      <c r="J72" s="16">
        <f t="shared" si="68"/>
        <v>0</v>
      </c>
      <c r="K72" s="16">
        <f t="shared" si="68"/>
        <v>0</v>
      </c>
      <c r="L72" s="16">
        <f t="shared" si="68"/>
        <v>0</v>
      </c>
      <c r="M72" s="16">
        <f t="shared" si="68"/>
        <v>0</v>
      </c>
    </row>
    <row r="73" ht="15.75" customHeight="1">
      <c r="A73" s="11">
        <v>46243.0</v>
      </c>
      <c r="B73" s="34">
        <v>1533669.0</v>
      </c>
      <c r="C73" s="34">
        <v>405430.0</v>
      </c>
      <c r="D73" s="34">
        <v>984179.0</v>
      </c>
      <c r="E73" s="34">
        <v>57889.0</v>
      </c>
      <c r="F73" s="34">
        <v>17277.0</v>
      </c>
      <c r="G73" s="13">
        <f t="shared" si="1"/>
        <v>2998444</v>
      </c>
      <c r="H73" s="14">
        <v>3000000.0</v>
      </c>
      <c r="I73" s="16">
        <f t="shared" ref="I73:M73" si="69">IF(OR(B73="",B72=""),"",B73-B72)</f>
        <v>0</v>
      </c>
      <c r="J73" s="16">
        <f t="shared" si="69"/>
        <v>0</v>
      </c>
      <c r="K73" s="16">
        <f t="shared" si="69"/>
        <v>0</v>
      </c>
      <c r="L73" s="16">
        <f t="shared" si="69"/>
        <v>0</v>
      </c>
      <c r="M73" s="16">
        <f t="shared" si="69"/>
        <v>0</v>
      </c>
    </row>
    <row r="74" ht="15.75" customHeight="1">
      <c r="A74" s="11">
        <v>46244.0</v>
      </c>
      <c r="B74" s="34">
        <v>1533669.0</v>
      </c>
      <c r="C74" s="34">
        <v>405430.0</v>
      </c>
      <c r="D74" s="34">
        <v>984179.0</v>
      </c>
      <c r="E74" s="34">
        <v>57889.0</v>
      </c>
      <c r="F74" s="34">
        <v>17277.0</v>
      </c>
      <c r="G74" s="13">
        <f t="shared" si="1"/>
        <v>2998444</v>
      </c>
      <c r="H74" s="14">
        <v>3000000.0</v>
      </c>
      <c r="I74" s="16">
        <f t="shared" ref="I74:M74" si="70">IF(OR(B74="",B73=""),"",B74-B73)</f>
        <v>0</v>
      </c>
      <c r="J74" s="16">
        <f t="shared" si="70"/>
        <v>0</v>
      </c>
      <c r="K74" s="16">
        <f t="shared" si="70"/>
        <v>0</v>
      </c>
      <c r="L74" s="16">
        <f t="shared" si="70"/>
        <v>0</v>
      </c>
      <c r="M74" s="16">
        <f t="shared" si="70"/>
        <v>0</v>
      </c>
    </row>
    <row r="75" ht="15.75" customHeight="1">
      <c r="A75" s="11">
        <v>46245.0</v>
      </c>
      <c r="B75" s="34">
        <v>1533669.0</v>
      </c>
      <c r="C75" s="34">
        <v>405430.0</v>
      </c>
      <c r="D75" s="34">
        <v>984179.0</v>
      </c>
      <c r="E75" s="34">
        <v>57889.0</v>
      </c>
      <c r="F75" s="34">
        <v>17277.0</v>
      </c>
      <c r="G75" s="13">
        <f t="shared" si="1"/>
        <v>2998444</v>
      </c>
      <c r="H75" s="14">
        <v>3000000.0</v>
      </c>
      <c r="I75" s="16">
        <f t="shared" ref="I75:M75" si="71">IF(OR(B75="",B74=""),"",B75-B74)</f>
        <v>0</v>
      </c>
      <c r="J75" s="16">
        <f t="shared" si="71"/>
        <v>0</v>
      </c>
      <c r="K75" s="16">
        <f t="shared" si="71"/>
        <v>0</v>
      </c>
      <c r="L75" s="16">
        <f t="shared" si="71"/>
        <v>0</v>
      </c>
      <c r="M75" s="16">
        <f t="shared" si="71"/>
        <v>0</v>
      </c>
    </row>
    <row r="76" ht="15.75" customHeight="1">
      <c r="A76" s="11">
        <v>46246.0</v>
      </c>
      <c r="B76" s="34">
        <v>1533669.0</v>
      </c>
      <c r="C76" s="34">
        <v>405430.0</v>
      </c>
      <c r="D76" s="34">
        <v>984179.0</v>
      </c>
      <c r="E76" s="34">
        <v>57889.0</v>
      </c>
      <c r="F76" s="34">
        <v>17277.0</v>
      </c>
      <c r="G76" s="13">
        <f t="shared" si="1"/>
        <v>2998444</v>
      </c>
      <c r="H76" s="14">
        <v>3000000.0</v>
      </c>
      <c r="I76" s="16">
        <f t="shared" ref="I76:M76" si="72">IF(OR(B76="",B75=""),"",B76-B75)</f>
        <v>0</v>
      </c>
      <c r="J76" s="16">
        <f t="shared" si="72"/>
        <v>0</v>
      </c>
      <c r="K76" s="16">
        <f t="shared" si="72"/>
        <v>0</v>
      </c>
      <c r="L76" s="16">
        <f t="shared" si="72"/>
        <v>0</v>
      </c>
      <c r="M76" s="16">
        <f t="shared" si="72"/>
        <v>0</v>
      </c>
    </row>
    <row r="77" ht="15.75" customHeight="1">
      <c r="A77" s="11">
        <v>46247.0</v>
      </c>
      <c r="B77" s="34">
        <v>1533669.0</v>
      </c>
      <c r="C77" s="34">
        <v>405430.0</v>
      </c>
      <c r="D77" s="34">
        <v>984179.0</v>
      </c>
      <c r="E77" s="34">
        <v>57889.0</v>
      </c>
      <c r="F77" s="34">
        <v>17277.0</v>
      </c>
      <c r="G77" s="13">
        <f t="shared" si="1"/>
        <v>2998444</v>
      </c>
      <c r="H77" s="14">
        <v>3000000.0</v>
      </c>
      <c r="I77" s="16">
        <f t="shared" ref="I77:M77" si="73">IF(OR(B77="",B76=""),"",B77-B76)</f>
        <v>0</v>
      </c>
      <c r="J77" s="16">
        <f t="shared" si="73"/>
        <v>0</v>
      </c>
      <c r="K77" s="16">
        <f t="shared" si="73"/>
        <v>0</v>
      </c>
      <c r="L77" s="16">
        <f t="shared" si="73"/>
        <v>0</v>
      </c>
      <c r="M77" s="16">
        <f t="shared" si="73"/>
        <v>0</v>
      </c>
    </row>
    <row r="78" ht="15.75" customHeight="1">
      <c r="A78" s="11">
        <v>46248.0</v>
      </c>
      <c r="B78" s="34">
        <v>1533669.0</v>
      </c>
      <c r="C78" s="34">
        <v>405430.0</v>
      </c>
      <c r="D78" s="34">
        <v>984179.0</v>
      </c>
      <c r="E78" s="34">
        <v>57889.0</v>
      </c>
      <c r="F78" s="34">
        <v>17277.0</v>
      </c>
      <c r="G78" s="13">
        <f t="shared" si="1"/>
        <v>2998444</v>
      </c>
      <c r="H78" s="14">
        <v>3000000.0</v>
      </c>
      <c r="I78" s="16">
        <f t="shared" ref="I78:M78" si="74">IF(OR(B78="",B77=""),"",B78-B77)</f>
        <v>0</v>
      </c>
      <c r="J78" s="16">
        <f t="shared" si="74"/>
        <v>0</v>
      </c>
      <c r="K78" s="16">
        <f t="shared" si="74"/>
        <v>0</v>
      </c>
      <c r="L78" s="16">
        <f t="shared" si="74"/>
        <v>0</v>
      </c>
      <c r="M78" s="16">
        <f t="shared" si="74"/>
        <v>0</v>
      </c>
    </row>
    <row r="79" ht="15.75" customHeight="1">
      <c r="A79" s="11">
        <v>46249.0</v>
      </c>
      <c r="B79" s="34">
        <v>1533669.0</v>
      </c>
      <c r="C79" s="34">
        <v>405430.0</v>
      </c>
      <c r="D79" s="34">
        <v>984179.0</v>
      </c>
      <c r="E79" s="34">
        <v>57889.0</v>
      </c>
      <c r="F79" s="34">
        <v>17277.0</v>
      </c>
      <c r="G79" s="13">
        <f t="shared" si="1"/>
        <v>2998444</v>
      </c>
      <c r="H79" s="14">
        <v>3000000.0</v>
      </c>
      <c r="I79" s="16">
        <f t="shared" ref="I79:M79" si="75">IF(OR(B79="",B78=""),"",B79-B78)</f>
        <v>0</v>
      </c>
      <c r="J79" s="16">
        <f t="shared" si="75"/>
        <v>0</v>
      </c>
      <c r="K79" s="16">
        <f t="shared" si="75"/>
        <v>0</v>
      </c>
      <c r="L79" s="16">
        <f t="shared" si="75"/>
        <v>0</v>
      </c>
      <c r="M79" s="16">
        <f t="shared" si="75"/>
        <v>0</v>
      </c>
    </row>
    <row r="80" ht="15.75" customHeight="1">
      <c r="A80" s="11">
        <v>46250.0</v>
      </c>
      <c r="B80" s="34">
        <v>1533669.0</v>
      </c>
      <c r="C80" s="34">
        <v>405430.0</v>
      </c>
      <c r="D80" s="34">
        <v>984179.0</v>
      </c>
      <c r="E80" s="34">
        <v>57889.0</v>
      </c>
      <c r="F80" s="34">
        <v>17277.0</v>
      </c>
      <c r="G80" s="13">
        <f t="shared" si="1"/>
        <v>2998444</v>
      </c>
      <c r="H80" s="14">
        <v>3000000.0</v>
      </c>
      <c r="I80" s="16">
        <f t="shared" ref="I80:M80" si="76">IF(OR(B80="",B79=""),"",B80-B79)</f>
        <v>0</v>
      </c>
      <c r="J80" s="16">
        <f t="shared" si="76"/>
        <v>0</v>
      </c>
      <c r="K80" s="16">
        <f t="shared" si="76"/>
        <v>0</v>
      </c>
      <c r="L80" s="16">
        <f t="shared" si="76"/>
        <v>0</v>
      </c>
      <c r="M80" s="16">
        <f t="shared" si="76"/>
        <v>0</v>
      </c>
    </row>
    <row r="81" ht="15.75" customHeight="1">
      <c r="A81" s="11">
        <v>46251.0</v>
      </c>
      <c r="B81" s="34">
        <v>1537513.0</v>
      </c>
      <c r="C81" s="34">
        <v>406334.0</v>
      </c>
      <c r="D81" s="34">
        <v>984043.0</v>
      </c>
      <c r="E81" s="34">
        <v>58088.0</v>
      </c>
      <c r="F81" s="34">
        <v>17314.0</v>
      </c>
      <c r="G81" s="13">
        <f t="shared" si="1"/>
        <v>3003292</v>
      </c>
      <c r="H81" s="14">
        <v>3000000.0</v>
      </c>
      <c r="I81" s="16">
        <f t="shared" ref="I81:M81" si="77">IF(OR(B81="",B80=""),"",B81-B80)</f>
        <v>3844</v>
      </c>
      <c r="J81" s="16">
        <f t="shared" si="77"/>
        <v>904</v>
      </c>
      <c r="K81" s="16">
        <f t="shared" si="77"/>
        <v>-136</v>
      </c>
      <c r="L81" s="16">
        <f t="shared" si="77"/>
        <v>199</v>
      </c>
      <c r="M81" s="16">
        <f t="shared" si="77"/>
        <v>37</v>
      </c>
    </row>
    <row r="82" ht="15.75" customHeight="1">
      <c r="A82" s="11">
        <v>46252.0</v>
      </c>
      <c r="B82" s="34">
        <v>1537513.0</v>
      </c>
      <c r="C82" s="34">
        <v>406334.0</v>
      </c>
      <c r="D82" s="34">
        <v>984043.0</v>
      </c>
      <c r="E82" s="34">
        <v>58088.0</v>
      </c>
      <c r="F82" s="34">
        <v>17314.0</v>
      </c>
      <c r="G82" s="13">
        <f t="shared" si="1"/>
        <v>3003292</v>
      </c>
      <c r="H82" s="14">
        <v>3000000.0</v>
      </c>
      <c r="I82" s="16">
        <f t="shared" ref="I82:M82" si="78">IF(OR(B82="",B81=""),"",B82-B81)</f>
        <v>0</v>
      </c>
      <c r="J82" s="16">
        <f t="shared" si="78"/>
        <v>0</v>
      </c>
      <c r="K82" s="16">
        <f t="shared" si="78"/>
        <v>0</v>
      </c>
      <c r="L82" s="16">
        <f t="shared" si="78"/>
        <v>0</v>
      </c>
      <c r="M82" s="16">
        <f t="shared" si="78"/>
        <v>0</v>
      </c>
    </row>
    <row r="83" ht="15.75" customHeight="1">
      <c r="A83" s="11">
        <v>46253.0</v>
      </c>
      <c r="B83" s="34">
        <v>1537513.0</v>
      </c>
      <c r="C83" s="34">
        <v>406334.0</v>
      </c>
      <c r="D83" s="34">
        <v>984043.0</v>
      </c>
      <c r="E83" s="34">
        <v>58088.0</v>
      </c>
      <c r="F83" s="34">
        <v>17314.0</v>
      </c>
      <c r="G83" s="13">
        <f t="shared" si="1"/>
        <v>3003292</v>
      </c>
      <c r="H83" s="14">
        <v>3000000.0</v>
      </c>
      <c r="I83" s="16">
        <f t="shared" ref="I83:M83" si="79">IF(OR(B83="",B82=""),"",B83-B82)</f>
        <v>0</v>
      </c>
      <c r="J83" s="16">
        <f t="shared" si="79"/>
        <v>0</v>
      </c>
      <c r="K83" s="16">
        <f t="shared" si="79"/>
        <v>0</v>
      </c>
      <c r="L83" s="16">
        <f t="shared" si="79"/>
        <v>0</v>
      </c>
      <c r="M83" s="16">
        <f t="shared" si="79"/>
        <v>0</v>
      </c>
    </row>
    <row r="84" ht="15.75" customHeight="1">
      <c r="A84" s="11">
        <v>46254.0</v>
      </c>
      <c r="B84" s="34">
        <v>1537513.0</v>
      </c>
      <c r="C84" s="34">
        <v>406334.0</v>
      </c>
      <c r="D84" s="34">
        <v>984043.0</v>
      </c>
      <c r="E84" s="34">
        <v>58088.0</v>
      </c>
      <c r="F84" s="34">
        <v>17314.0</v>
      </c>
      <c r="G84" s="13">
        <f t="shared" si="1"/>
        <v>3003292</v>
      </c>
      <c r="H84" s="14">
        <v>3000000.0</v>
      </c>
      <c r="I84" s="16">
        <f t="shared" ref="I84:M84" si="80">IF(OR(B84="",B83=""),"",B84-B83)</f>
        <v>0</v>
      </c>
      <c r="J84" s="16">
        <f t="shared" si="80"/>
        <v>0</v>
      </c>
      <c r="K84" s="16">
        <f t="shared" si="80"/>
        <v>0</v>
      </c>
      <c r="L84" s="16">
        <f t="shared" si="80"/>
        <v>0</v>
      </c>
      <c r="M84" s="16">
        <f t="shared" si="80"/>
        <v>0</v>
      </c>
    </row>
    <row r="85" ht="15.75" customHeight="1">
      <c r="A85" s="11">
        <v>46255.0</v>
      </c>
      <c r="B85" s="34">
        <v>1537513.0</v>
      </c>
      <c r="C85" s="34">
        <v>406334.0</v>
      </c>
      <c r="D85" s="34">
        <v>984043.0</v>
      </c>
      <c r="E85" s="34">
        <v>58088.0</v>
      </c>
      <c r="F85" s="34">
        <v>17314.0</v>
      </c>
      <c r="G85" s="13">
        <f t="shared" si="1"/>
        <v>3003292</v>
      </c>
      <c r="H85" s="14">
        <v>3000000.0</v>
      </c>
      <c r="I85" s="16">
        <f t="shared" ref="I85:M85" si="81">IF(OR(B85="",B84=""),"",B85-B84)</f>
        <v>0</v>
      </c>
      <c r="J85" s="16">
        <f t="shared" si="81"/>
        <v>0</v>
      </c>
      <c r="K85" s="16">
        <f t="shared" si="81"/>
        <v>0</v>
      </c>
      <c r="L85" s="16">
        <f t="shared" si="81"/>
        <v>0</v>
      </c>
      <c r="M85" s="16">
        <f t="shared" si="81"/>
        <v>0</v>
      </c>
    </row>
    <row r="86" ht="15.75" customHeight="1">
      <c r="A86" s="11">
        <v>46256.0</v>
      </c>
      <c r="B86" s="34">
        <v>1537513.0</v>
      </c>
      <c r="C86" s="34">
        <v>406334.0</v>
      </c>
      <c r="D86" s="34">
        <v>984043.0</v>
      </c>
      <c r="E86" s="34">
        <v>58088.0</v>
      </c>
      <c r="F86" s="34">
        <v>17314.0</v>
      </c>
      <c r="G86" s="13">
        <f t="shared" si="1"/>
        <v>3003292</v>
      </c>
      <c r="H86" s="14">
        <v>3000000.0</v>
      </c>
      <c r="I86" s="16">
        <f t="shared" ref="I86:M86" si="82">IF(OR(B86="",B85=""),"",B86-B85)</f>
        <v>0</v>
      </c>
      <c r="J86" s="16">
        <f t="shared" si="82"/>
        <v>0</v>
      </c>
      <c r="K86" s="16">
        <f t="shared" si="82"/>
        <v>0</v>
      </c>
      <c r="L86" s="16">
        <f t="shared" si="82"/>
        <v>0</v>
      </c>
      <c r="M86" s="16">
        <f t="shared" si="82"/>
        <v>0</v>
      </c>
    </row>
    <row r="87" ht="15.75" customHeight="1">
      <c r="A87" s="11">
        <v>46257.0</v>
      </c>
      <c r="B87" s="34">
        <v>1538814.0</v>
      </c>
      <c r="C87" s="34">
        <v>408600.0</v>
      </c>
      <c r="D87" s="34">
        <v>983823.0</v>
      </c>
      <c r="E87" s="34">
        <v>58240.0</v>
      </c>
      <c r="F87" s="34">
        <v>17371.0</v>
      </c>
      <c r="G87" s="13">
        <f t="shared" si="1"/>
        <v>3006848</v>
      </c>
      <c r="H87" s="14">
        <v>3000000.0</v>
      </c>
      <c r="I87" s="16">
        <f t="shared" ref="I87:M87" si="83">IF(OR(B87="",B86=""),"",B87-B86)</f>
        <v>1301</v>
      </c>
      <c r="J87" s="16">
        <f t="shared" si="83"/>
        <v>2266</v>
      </c>
      <c r="K87" s="16">
        <f t="shared" si="83"/>
        <v>-220</v>
      </c>
      <c r="L87" s="16">
        <f t="shared" si="83"/>
        <v>152</v>
      </c>
      <c r="M87" s="16">
        <f t="shared" si="83"/>
        <v>57</v>
      </c>
    </row>
    <row r="88" ht="15.75" customHeight="1">
      <c r="A88" s="11">
        <v>46258.0</v>
      </c>
      <c r="B88" s="34">
        <v>1538814.0</v>
      </c>
      <c r="C88" s="34">
        <v>408600.0</v>
      </c>
      <c r="D88" s="34">
        <v>983823.0</v>
      </c>
      <c r="E88" s="34">
        <v>58240.0</v>
      </c>
      <c r="F88" s="34">
        <v>17371.0</v>
      </c>
      <c r="G88" s="13">
        <f t="shared" si="1"/>
        <v>3006848</v>
      </c>
      <c r="H88" s="14">
        <v>3000000.0</v>
      </c>
      <c r="I88" s="16">
        <f t="shared" ref="I88:M88" si="84">IF(OR(B88="",B87=""),"",B88-B87)</f>
        <v>0</v>
      </c>
      <c r="J88" s="16">
        <f t="shared" si="84"/>
        <v>0</v>
      </c>
      <c r="K88" s="16">
        <f t="shared" si="84"/>
        <v>0</v>
      </c>
      <c r="L88" s="16">
        <f t="shared" si="84"/>
        <v>0</v>
      </c>
      <c r="M88" s="16">
        <f t="shared" si="84"/>
        <v>0</v>
      </c>
    </row>
    <row r="89" ht="15.75" customHeight="1">
      <c r="A89" s="11">
        <v>46259.0</v>
      </c>
      <c r="B89" s="12"/>
      <c r="C89" s="12"/>
      <c r="D89" s="12"/>
      <c r="E89" s="12"/>
      <c r="F89" s="12"/>
      <c r="G89" s="13" t="str">
        <f t="shared" si="1"/>
        <v/>
      </c>
      <c r="H89" s="14">
        <v>3000000.0</v>
      </c>
      <c r="I89" s="16" t="str">
        <f t="shared" ref="I89:M89" si="85">IF(OR(B89="",B88=""),"",B89-B88)</f>
        <v/>
      </c>
      <c r="J89" s="16" t="str">
        <f t="shared" si="85"/>
        <v/>
      </c>
      <c r="K89" s="16" t="str">
        <f t="shared" si="85"/>
        <v/>
      </c>
      <c r="L89" s="16" t="str">
        <f t="shared" si="85"/>
        <v/>
      </c>
      <c r="M89" s="16" t="str">
        <f t="shared" si="85"/>
        <v/>
      </c>
    </row>
    <row r="90" ht="15.75" customHeight="1">
      <c r="A90" s="11">
        <v>46260.0</v>
      </c>
      <c r="B90" s="12"/>
      <c r="C90" s="12"/>
      <c r="D90" s="12"/>
      <c r="E90" s="12"/>
      <c r="F90" s="12"/>
      <c r="G90" s="13" t="str">
        <f t="shared" si="1"/>
        <v/>
      </c>
      <c r="H90" s="14">
        <v>3000000.0</v>
      </c>
      <c r="I90" s="16" t="str">
        <f t="shared" ref="I90:M90" si="86">IF(OR(B90="",B89=""),"",B90-B89)</f>
        <v/>
      </c>
      <c r="J90" s="16" t="str">
        <f t="shared" si="86"/>
        <v/>
      </c>
      <c r="K90" s="16" t="str">
        <f t="shared" si="86"/>
        <v/>
      </c>
      <c r="L90" s="16" t="str">
        <f t="shared" si="86"/>
        <v/>
      </c>
      <c r="M90" s="16" t="str">
        <f t="shared" si="86"/>
        <v/>
      </c>
    </row>
    <row r="91" ht="15.75" customHeight="1">
      <c r="A91" s="11">
        <v>46261.0</v>
      </c>
      <c r="B91" s="12"/>
      <c r="C91" s="12"/>
      <c r="D91" s="12"/>
      <c r="E91" s="12"/>
      <c r="F91" s="12"/>
      <c r="G91" s="13" t="str">
        <f t="shared" si="1"/>
        <v/>
      </c>
      <c r="H91" s="14">
        <v>3000000.0</v>
      </c>
      <c r="I91" s="16" t="str">
        <f t="shared" ref="I91:M91" si="87">IF(OR(B91="",B90=""),"",B91-B90)</f>
        <v/>
      </c>
      <c r="J91" s="16" t="str">
        <f t="shared" si="87"/>
        <v/>
      </c>
      <c r="K91" s="16" t="str">
        <f t="shared" si="87"/>
        <v/>
      </c>
      <c r="L91" s="16" t="str">
        <f t="shared" si="87"/>
        <v/>
      </c>
      <c r="M91" s="16" t="str">
        <f t="shared" si="87"/>
        <v/>
      </c>
    </row>
    <row r="92" ht="15.75" customHeight="1">
      <c r="A92" s="11">
        <v>46262.0</v>
      </c>
      <c r="B92" s="12"/>
      <c r="C92" s="12"/>
      <c r="D92" s="12"/>
      <c r="E92" s="12"/>
      <c r="F92" s="12"/>
      <c r="G92" s="13" t="str">
        <f t="shared" si="1"/>
        <v/>
      </c>
      <c r="H92" s="14">
        <v>3000000.0</v>
      </c>
      <c r="I92" s="16" t="str">
        <f t="shared" ref="I92:M92" si="88">IF(OR(B92="",B91=""),"",B92-B91)</f>
        <v/>
      </c>
      <c r="J92" s="16" t="str">
        <f t="shared" si="88"/>
        <v/>
      </c>
      <c r="K92" s="16" t="str">
        <f t="shared" si="88"/>
        <v/>
      </c>
      <c r="L92" s="16" t="str">
        <f t="shared" si="88"/>
        <v/>
      </c>
      <c r="M92" s="16" t="str">
        <f t="shared" si="88"/>
        <v/>
      </c>
    </row>
    <row r="93" ht="15.75" customHeight="1">
      <c r="A93" s="11">
        <v>46263.0</v>
      </c>
      <c r="B93" s="12"/>
      <c r="C93" s="12"/>
      <c r="D93" s="12"/>
      <c r="E93" s="12"/>
      <c r="F93" s="12"/>
      <c r="G93" s="13" t="str">
        <f t="shared" si="1"/>
        <v/>
      </c>
      <c r="H93" s="14">
        <v>3000000.0</v>
      </c>
      <c r="I93" s="16" t="str">
        <f t="shared" ref="I93:M93" si="89">IF(OR(B93="",B92=""),"",B93-B92)</f>
        <v/>
      </c>
      <c r="J93" s="16" t="str">
        <f t="shared" si="89"/>
        <v/>
      </c>
      <c r="K93" s="16" t="str">
        <f t="shared" si="89"/>
        <v/>
      </c>
      <c r="L93" s="16" t="str">
        <f t="shared" si="89"/>
        <v/>
      </c>
      <c r="M93" s="16" t="str">
        <f t="shared" si="89"/>
        <v/>
      </c>
    </row>
    <row r="94" ht="15.75" customHeight="1">
      <c r="A94" s="11">
        <v>46264.0</v>
      </c>
      <c r="B94" s="12"/>
      <c r="C94" s="12"/>
      <c r="D94" s="12"/>
      <c r="E94" s="12"/>
      <c r="F94" s="12"/>
      <c r="G94" s="13" t="str">
        <f t="shared" si="1"/>
        <v/>
      </c>
      <c r="H94" s="14">
        <v>3000000.0</v>
      </c>
      <c r="I94" s="16" t="str">
        <f t="shared" ref="I94:M94" si="90">IF(OR(B94="",B93=""),"",B94-B93)</f>
        <v/>
      </c>
      <c r="J94" s="16" t="str">
        <f t="shared" si="90"/>
        <v/>
      </c>
      <c r="K94" s="16" t="str">
        <f t="shared" si="90"/>
        <v/>
      </c>
      <c r="L94" s="16" t="str">
        <f t="shared" si="90"/>
        <v/>
      </c>
      <c r="M94" s="16" t="str">
        <f t="shared" si="90"/>
        <v/>
      </c>
    </row>
    <row r="95" ht="15.75" customHeight="1">
      <c r="A95" s="11">
        <v>46265.0</v>
      </c>
      <c r="B95" s="12"/>
      <c r="C95" s="12"/>
      <c r="D95" s="12"/>
      <c r="E95" s="12"/>
      <c r="F95" s="12"/>
      <c r="G95" s="13" t="str">
        <f t="shared" si="1"/>
        <v/>
      </c>
      <c r="H95" s="14">
        <v>3000000.0</v>
      </c>
      <c r="I95" s="16" t="str">
        <f t="shared" ref="I95:M95" si="91">IF(OR(B95="",B94=""),"",B95-B94)</f>
        <v/>
      </c>
      <c r="J95" s="16" t="str">
        <f t="shared" si="91"/>
        <v/>
      </c>
      <c r="K95" s="16" t="str">
        <f t="shared" si="91"/>
        <v/>
      </c>
      <c r="L95" s="16" t="str">
        <f t="shared" si="91"/>
        <v/>
      </c>
      <c r="M95" s="16" t="str">
        <f t="shared" si="91"/>
        <v/>
      </c>
    </row>
    <row r="96" ht="15.75" customHeight="1">
      <c r="A96" s="11">
        <v>46266.0</v>
      </c>
      <c r="B96" s="12"/>
      <c r="C96" s="12"/>
      <c r="D96" s="12"/>
      <c r="E96" s="12"/>
      <c r="F96" s="12"/>
      <c r="G96" s="13" t="str">
        <f t="shared" si="1"/>
        <v/>
      </c>
      <c r="H96" s="14">
        <v>3000000.0</v>
      </c>
      <c r="I96" s="16" t="str">
        <f t="shared" ref="I96:M96" si="92">IF(OR(B96="",B95=""),"",B96-B95)</f>
        <v/>
      </c>
      <c r="J96" s="16" t="str">
        <f t="shared" si="92"/>
        <v/>
      </c>
      <c r="K96" s="16" t="str">
        <f t="shared" si="92"/>
        <v/>
      </c>
      <c r="L96" s="16" t="str">
        <f t="shared" si="92"/>
        <v/>
      </c>
      <c r="M96" s="16" t="str">
        <f t="shared" si="92"/>
        <v/>
      </c>
    </row>
    <row r="97" ht="15.75" customHeight="1">
      <c r="A97" s="11">
        <v>46267.0</v>
      </c>
      <c r="B97" s="12"/>
      <c r="C97" s="12"/>
      <c r="D97" s="12"/>
      <c r="E97" s="12"/>
      <c r="F97" s="12"/>
      <c r="G97" s="13" t="str">
        <f t="shared" si="1"/>
        <v/>
      </c>
      <c r="H97" s="14">
        <v>3000000.0</v>
      </c>
      <c r="I97" s="16" t="str">
        <f t="shared" ref="I97:M97" si="93">IF(OR(B97="",B96=""),"",B97-B96)</f>
        <v/>
      </c>
      <c r="J97" s="16" t="str">
        <f t="shared" si="93"/>
        <v/>
      </c>
      <c r="K97" s="16" t="str">
        <f t="shared" si="93"/>
        <v/>
      </c>
      <c r="L97" s="16" t="str">
        <f t="shared" si="93"/>
        <v/>
      </c>
      <c r="M97" s="16" t="str">
        <f t="shared" si="93"/>
        <v/>
      </c>
    </row>
    <row r="98" ht="15.75" customHeight="1">
      <c r="A98" s="11">
        <v>46268.0</v>
      </c>
      <c r="B98" s="12"/>
      <c r="C98" s="12"/>
      <c r="D98" s="12"/>
      <c r="E98" s="12"/>
      <c r="F98" s="12"/>
      <c r="G98" s="13" t="str">
        <f t="shared" si="1"/>
        <v/>
      </c>
      <c r="H98" s="14">
        <v>3000000.0</v>
      </c>
      <c r="I98" s="16" t="str">
        <f t="shared" ref="I98:M98" si="94">IF(OR(B98="",B97=""),"",B98-B97)</f>
        <v/>
      </c>
      <c r="J98" s="16" t="str">
        <f t="shared" si="94"/>
        <v/>
      </c>
      <c r="K98" s="16" t="str">
        <f t="shared" si="94"/>
        <v/>
      </c>
      <c r="L98" s="16" t="str">
        <f t="shared" si="94"/>
        <v/>
      </c>
      <c r="M98" s="16" t="str">
        <f t="shared" si="94"/>
        <v/>
      </c>
    </row>
    <row r="99" ht="15.75" customHeight="1">
      <c r="A99" s="11">
        <v>46269.0</v>
      </c>
      <c r="B99" s="12"/>
      <c r="C99" s="12"/>
      <c r="D99" s="12"/>
      <c r="E99" s="12"/>
      <c r="F99" s="12"/>
      <c r="G99" s="13" t="str">
        <f t="shared" si="1"/>
        <v/>
      </c>
      <c r="H99" s="14">
        <v>3000000.0</v>
      </c>
      <c r="I99" s="16" t="str">
        <f t="shared" ref="I99:M99" si="95">IF(OR(B99="",B98=""),"",B99-B98)</f>
        <v/>
      </c>
      <c r="J99" s="16" t="str">
        <f t="shared" si="95"/>
        <v/>
      </c>
      <c r="K99" s="16" t="str">
        <f t="shared" si="95"/>
        <v/>
      </c>
      <c r="L99" s="16" t="str">
        <f t="shared" si="95"/>
        <v/>
      </c>
      <c r="M99" s="16" t="str">
        <f t="shared" si="95"/>
        <v/>
      </c>
    </row>
    <row r="100" ht="15.75" customHeight="1">
      <c r="A100" s="11">
        <v>46270.0</v>
      </c>
      <c r="B100" s="12"/>
      <c r="C100" s="12"/>
      <c r="D100" s="12"/>
      <c r="E100" s="12"/>
      <c r="F100" s="12"/>
      <c r="G100" s="13" t="str">
        <f t="shared" si="1"/>
        <v/>
      </c>
      <c r="H100" s="14">
        <v>3000000.0</v>
      </c>
      <c r="I100" s="16" t="str">
        <f t="shared" ref="I100:M100" si="96">IF(OR(B100="",B99=""),"",B100-B99)</f>
        <v/>
      </c>
      <c r="J100" s="16" t="str">
        <f t="shared" si="96"/>
        <v/>
      </c>
      <c r="K100" s="16" t="str">
        <f t="shared" si="96"/>
        <v/>
      </c>
      <c r="L100" s="16" t="str">
        <f t="shared" si="96"/>
        <v/>
      </c>
      <c r="M100" s="16" t="str">
        <f t="shared" si="96"/>
        <v/>
      </c>
    </row>
    <row r="101" ht="15.75" customHeight="1">
      <c r="A101" s="11">
        <v>46271.0</v>
      </c>
      <c r="B101" s="12"/>
      <c r="C101" s="12"/>
      <c r="D101" s="12"/>
      <c r="E101" s="12"/>
      <c r="F101" s="12"/>
      <c r="G101" s="13" t="str">
        <f t="shared" si="1"/>
        <v/>
      </c>
      <c r="H101" s="14">
        <v>3000000.0</v>
      </c>
      <c r="I101" s="16" t="str">
        <f t="shared" ref="I101:M101" si="97">IF(OR(B101="",B100=""),"",B101-B100)</f>
        <v/>
      </c>
      <c r="J101" s="16" t="str">
        <f t="shared" si="97"/>
        <v/>
      </c>
      <c r="K101" s="16" t="str">
        <f t="shared" si="97"/>
        <v/>
      </c>
      <c r="L101" s="16" t="str">
        <f t="shared" si="97"/>
        <v/>
      </c>
      <c r="M101" s="16" t="str">
        <f t="shared" si="97"/>
        <v/>
      </c>
    </row>
    <row r="102" ht="15.75" customHeight="1">
      <c r="A102" s="11">
        <v>46272.0</v>
      </c>
      <c r="B102" s="12"/>
      <c r="C102" s="12"/>
      <c r="D102" s="12"/>
      <c r="E102" s="12"/>
      <c r="F102" s="12"/>
      <c r="G102" s="13" t="str">
        <f t="shared" si="1"/>
        <v/>
      </c>
      <c r="H102" s="14">
        <v>3000000.0</v>
      </c>
      <c r="I102" s="16" t="str">
        <f t="shared" ref="I102:M102" si="98">IF(OR(B102="",B101=""),"",B102-B101)</f>
        <v/>
      </c>
      <c r="J102" s="16" t="str">
        <f t="shared" si="98"/>
        <v/>
      </c>
      <c r="K102" s="16" t="str">
        <f t="shared" si="98"/>
        <v/>
      </c>
      <c r="L102" s="16" t="str">
        <f t="shared" si="98"/>
        <v/>
      </c>
      <c r="M102" s="16" t="str">
        <f t="shared" si="98"/>
        <v/>
      </c>
    </row>
    <row r="103" ht="15.75" customHeight="1">
      <c r="A103" s="11">
        <v>46273.0</v>
      </c>
      <c r="B103" s="12"/>
      <c r="C103" s="12"/>
      <c r="D103" s="12"/>
      <c r="E103" s="12"/>
      <c r="F103" s="12"/>
      <c r="G103" s="13" t="str">
        <f t="shared" si="1"/>
        <v/>
      </c>
      <c r="H103" s="14">
        <v>3000000.0</v>
      </c>
      <c r="I103" s="16" t="str">
        <f t="shared" ref="I103:M103" si="99">IF(OR(B103="",B102=""),"",B103-B102)</f>
        <v/>
      </c>
      <c r="J103" s="16" t="str">
        <f t="shared" si="99"/>
        <v/>
      </c>
      <c r="K103" s="16" t="str">
        <f t="shared" si="99"/>
        <v/>
      </c>
      <c r="L103" s="16" t="str">
        <f t="shared" si="99"/>
        <v/>
      </c>
      <c r="M103" s="16" t="str">
        <f t="shared" si="99"/>
        <v/>
      </c>
    </row>
    <row r="104" ht="15.75" customHeight="1">
      <c r="A104" s="11">
        <v>46274.0</v>
      </c>
      <c r="B104" s="12"/>
      <c r="C104" s="12"/>
      <c r="D104" s="12"/>
      <c r="E104" s="12"/>
      <c r="F104" s="12"/>
      <c r="G104" s="13" t="str">
        <f t="shared" si="1"/>
        <v/>
      </c>
      <c r="H104" s="14">
        <v>3000000.0</v>
      </c>
      <c r="I104" s="16" t="str">
        <f t="shared" ref="I104:M104" si="100">IF(OR(B104="",B103=""),"",B104-B103)</f>
        <v/>
      </c>
      <c r="J104" s="16" t="str">
        <f t="shared" si="100"/>
        <v/>
      </c>
      <c r="K104" s="16" t="str">
        <f t="shared" si="100"/>
        <v/>
      </c>
      <c r="L104" s="16" t="str">
        <f t="shared" si="100"/>
        <v/>
      </c>
      <c r="M104" s="16" t="str">
        <f t="shared" si="100"/>
        <v/>
      </c>
    </row>
    <row r="105" ht="15.75" customHeight="1">
      <c r="A105" s="11">
        <v>46275.0</v>
      </c>
      <c r="B105" s="12"/>
      <c r="C105" s="12"/>
      <c r="D105" s="12"/>
      <c r="E105" s="12"/>
      <c r="F105" s="12"/>
      <c r="G105" s="13" t="str">
        <f t="shared" si="1"/>
        <v/>
      </c>
      <c r="H105" s="14">
        <v>3000000.0</v>
      </c>
      <c r="I105" s="16" t="str">
        <f t="shared" ref="I105:M105" si="101">IF(OR(B105="",B104=""),"",B105-B104)</f>
        <v/>
      </c>
      <c r="J105" s="16" t="str">
        <f t="shared" si="101"/>
        <v/>
      </c>
      <c r="K105" s="16" t="str">
        <f t="shared" si="101"/>
        <v/>
      </c>
      <c r="L105" s="16" t="str">
        <f t="shared" si="101"/>
        <v/>
      </c>
      <c r="M105" s="16" t="str">
        <f t="shared" si="101"/>
        <v/>
      </c>
    </row>
    <row r="106" ht="15.75" customHeight="1">
      <c r="A106" s="11">
        <v>46276.0</v>
      </c>
      <c r="B106" s="12"/>
      <c r="C106" s="12"/>
      <c r="D106" s="12"/>
      <c r="E106" s="12"/>
      <c r="F106" s="12"/>
      <c r="G106" s="13" t="str">
        <f t="shared" si="1"/>
        <v/>
      </c>
      <c r="H106" s="14">
        <v>3000000.0</v>
      </c>
      <c r="I106" s="16" t="str">
        <f t="shared" ref="I106:M106" si="102">IF(OR(B106="",B105=""),"",B106-B105)</f>
        <v/>
      </c>
      <c r="J106" s="16" t="str">
        <f t="shared" si="102"/>
        <v/>
      </c>
      <c r="K106" s="16" t="str">
        <f t="shared" si="102"/>
        <v/>
      </c>
      <c r="L106" s="16" t="str">
        <f t="shared" si="102"/>
        <v/>
      </c>
      <c r="M106" s="16" t="str">
        <f t="shared" si="102"/>
        <v/>
      </c>
    </row>
    <row r="107" ht="15.75" customHeight="1">
      <c r="A107" s="11">
        <v>46277.0</v>
      </c>
      <c r="B107" s="12"/>
      <c r="C107" s="12"/>
      <c r="D107" s="12"/>
      <c r="E107" s="12"/>
      <c r="F107" s="12"/>
      <c r="G107" s="13" t="str">
        <f t="shared" si="1"/>
        <v/>
      </c>
      <c r="H107" s="14">
        <v>3000000.0</v>
      </c>
      <c r="I107" s="16" t="str">
        <f t="shared" ref="I107:M107" si="103">IF(OR(B107="",B106=""),"",B107-B106)</f>
        <v/>
      </c>
      <c r="J107" s="16" t="str">
        <f t="shared" si="103"/>
        <v/>
      </c>
      <c r="K107" s="16" t="str">
        <f t="shared" si="103"/>
        <v/>
      </c>
      <c r="L107" s="16" t="str">
        <f t="shared" si="103"/>
        <v/>
      </c>
      <c r="M107" s="16" t="str">
        <f t="shared" si="103"/>
        <v/>
      </c>
    </row>
    <row r="108" ht="15.75" customHeight="1">
      <c r="A108" s="11">
        <v>46278.0</v>
      </c>
      <c r="B108" s="12"/>
      <c r="C108" s="12"/>
      <c r="D108" s="12"/>
      <c r="E108" s="12"/>
      <c r="F108" s="12"/>
      <c r="G108" s="13" t="str">
        <f t="shared" si="1"/>
        <v/>
      </c>
      <c r="H108" s="14">
        <v>3000000.0</v>
      </c>
      <c r="I108" s="16" t="str">
        <f t="shared" ref="I108:M108" si="104">IF(OR(B108="",B107=""),"",B108-B107)</f>
        <v/>
      </c>
      <c r="J108" s="16" t="str">
        <f t="shared" si="104"/>
        <v/>
      </c>
      <c r="K108" s="16" t="str">
        <f t="shared" si="104"/>
        <v/>
      </c>
      <c r="L108" s="16" t="str">
        <f t="shared" si="104"/>
        <v/>
      </c>
      <c r="M108" s="16" t="str">
        <f t="shared" si="104"/>
        <v/>
      </c>
    </row>
    <row r="109" ht="15.75" customHeight="1">
      <c r="A109" s="11">
        <v>46279.0</v>
      </c>
      <c r="B109" s="12"/>
      <c r="C109" s="12"/>
      <c r="D109" s="12"/>
      <c r="E109" s="12"/>
      <c r="F109" s="12"/>
      <c r="G109" s="13" t="str">
        <f t="shared" si="1"/>
        <v/>
      </c>
      <c r="H109" s="14">
        <v>3000000.0</v>
      </c>
      <c r="I109" s="16" t="str">
        <f t="shared" ref="I109:M109" si="105">IF(OR(B109="",B108=""),"",B109-B108)</f>
        <v/>
      </c>
      <c r="J109" s="16" t="str">
        <f t="shared" si="105"/>
        <v/>
      </c>
      <c r="K109" s="16" t="str">
        <f t="shared" si="105"/>
        <v/>
      </c>
      <c r="L109" s="16" t="str">
        <f t="shared" si="105"/>
        <v/>
      </c>
      <c r="M109" s="16" t="str">
        <f t="shared" si="105"/>
        <v/>
      </c>
    </row>
    <row r="110" ht="15.75" customHeight="1">
      <c r="A110" s="11">
        <v>46280.0</v>
      </c>
      <c r="B110" s="12"/>
      <c r="C110" s="12"/>
      <c r="D110" s="12"/>
      <c r="E110" s="12"/>
      <c r="F110" s="12"/>
      <c r="G110" s="13" t="str">
        <f t="shared" si="1"/>
        <v/>
      </c>
      <c r="H110" s="14">
        <v>3000000.0</v>
      </c>
      <c r="I110" s="16" t="str">
        <f t="shared" ref="I110:M110" si="106">IF(OR(B110="",B109=""),"",B110-B109)</f>
        <v/>
      </c>
      <c r="J110" s="16" t="str">
        <f t="shared" si="106"/>
        <v/>
      </c>
      <c r="K110" s="16" t="str">
        <f t="shared" si="106"/>
        <v/>
      </c>
      <c r="L110" s="16" t="str">
        <f t="shared" si="106"/>
        <v/>
      </c>
      <c r="M110" s="16" t="str">
        <f t="shared" si="106"/>
        <v/>
      </c>
    </row>
    <row r="111" ht="15.75" customHeight="1">
      <c r="A111" s="11">
        <v>46281.0</v>
      </c>
      <c r="B111" s="12"/>
      <c r="C111" s="12"/>
      <c r="D111" s="12"/>
      <c r="E111" s="12"/>
      <c r="F111" s="12"/>
      <c r="G111" s="13" t="str">
        <f t="shared" si="1"/>
        <v/>
      </c>
      <c r="H111" s="14">
        <v>3000000.0</v>
      </c>
      <c r="I111" s="16" t="str">
        <f t="shared" ref="I111:M111" si="107">IF(OR(B111="",B110=""),"",B111-B110)</f>
        <v/>
      </c>
      <c r="J111" s="16" t="str">
        <f t="shared" si="107"/>
        <v/>
      </c>
      <c r="K111" s="16" t="str">
        <f t="shared" si="107"/>
        <v/>
      </c>
      <c r="L111" s="16" t="str">
        <f t="shared" si="107"/>
        <v/>
      </c>
      <c r="M111" s="16" t="str">
        <f t="shared" si="107"/>
        <v/>
      </c>
    </row>
    <row r="112" ht="15.75" customHeight="1">
      <c r="A112" s="11">
        <v>46282.0</v>
      </c>
      <c r="B112" s="12"/>
      <c r="C112" s="12"/>
      <c r="D112" s="12"/>
      <c r="E112" s="12"/>
      <c r="F112" s="12"/>
      <c r="G112" s="13" t="str">
        <f t="shared" si="1"/>
        <v/>
      </c>
      <c r="H112" s="14">
        <v>3000000.0</v>
      </c>
      <c r="I112" s="16" t="str">
        <f t="shared" ref="I112:M112" si="108">IF(OR(B112="",B111=""),"",B112-B111)</f>
        <v/>
      </c>
      <c r="J112" s="16" t="str">
        <f t="shared" si="108"/>
        <v/>
      </c>
      <c r="K112" s="16" t="str">
        <f t="shared" si="108"/>
        <v/>
      </c>
      <c r="L112" s="16" t="str">
        <f t="shared" si="108"/>
        <v/>
      </c>
      <c r="M112" s="16" t="str">
        <f t="shared" si="108"/>
        <v/>
      </c>
    </row>
    <row r="113" ht="15.75" customHeight="1">
      <c r="A113" s="11">
        <v>46283.0</v>
      </c>
      <c r="B113" s="12"/>
      <c r="C113" s="12"/>
      <c r="D113" s="12"/>
      <c r="E113" s="12"/>
      <c r="F113" s="12"/>
      <c r="G113" s="13" t="str">
        <f t="shared" si="1"/>
        <v/>
      </c>
      <c r="H113" s="14">
        <v>3000000.0</v>
      </c>
      <c r="I113" s="16" t="str">
        <f t="shared" ref="I113:M113" si="109">IF(OR(B113="",B112=""),"",B113-B112)</f>
        <v/>
      </c>
      <c r="J113" s="16" t="str">
        <f t="shared" si="109"/>
        <v/>
      </c>
      <c r="K113" s="16" t="str">
        <f t="shared" si="109"/>
        <v/>
      </c>
      <c r="L113" s="16" t="str">
        <f t="shared" si="109"/>
        <v/>
      </c>
      <c r="M113" s="16" t="str">
        <f t="shared" si="109"/>
        <v/>
      </c>
    </row>
    <row r="114" ht="15.75" customHeight="1">
      <c r="A114" s="11">
        <v>46284.0</v>
      </c>
      <c r="B114" s="12"/>
      <c r="C114" s="12"/>
      <c r="D114" s="12"/>
      <c r="E114" s="12"/>
      <c r="F114" s="12"/>
      <c r="G114" s="13" t="str">
        <f t="shared" si="1"/>
        <v/>
      </c>
      <c r="H114" s="14">
        <v>3000000.0</v>
      </c>
      <c r="I114" s="16" t="str">
        <f t="shared" ref="I114:M114" si="110">IF(OR(B114="",B113=""),"",B114-B113)</f>
        <v/>
      </c>
      <c r="J114" s="16" t="str">
        <f t="shared" si="110"/>
        <v/>
      </c>
      <c r="K114" s="16" t="str">
        <f t="shared" si="110"/>
        <v/>
      </c>
      <c r="L114" s="16" t="str">
        <f t="shared" si="110"/>
        <v/>
      </c>
      <c r="M114" s="16" t="str">
        <f t="shared" si="110"/>
        <v/>
      </c>
    </row>
    <row r="115" ht="15.75" customHeight="1">
      <c r="A115" s="11">
        <v>46285.0</v>
      </c>
      <c r="B115" s="12"/>
      <c r="C115" s="12"/>
      <c r="D115" s="12"/>
      <c r="E115" s="12"/>
      <c r="F115" s="12"/>
      <c r="G115" s="13" t="str">
        <f t="shared" si="1"/>
        <v/>
      </c>
      <c r="H115" s="14">
        <v>3000000.0</v>
      </c>
      <c r="I115" s="16" t="str">
        <f t="shared" ref="I115:M115" si="111">IF(OR(B115="",B114=""),"",B115-B114)</f>
        <v/>
      </c>
      <c r="J115" s="16" t="str">
        <f t="shared" si="111"/>
        <v/>
      </c>
      <c r="K115" s="16" t="str">
        <f t="shared" si="111"/>
        <v/>
      </c>
      <c r="L115" s="16" t="str">
        <f t="shared" si="111"/>
        <v/>
      </c>
      <c r="M115" s="16" t="str">
        <f t="shared" si="111"/>
        <v/>
      </c>
    </row>
    <row r="116" ht="15.75" customHeight="1">
      <c r="A116" s="11">
        <v>46286.0</v>
      </c>
      <c r="B116" s="12"/>
      <c r="C116" s="12"/>
      <c r="D116" s="12"/>
      <c r="E116" s="12"/>
      <c r="F116" s="12"/>
      <c r="G116" s="13" t="str">
        <f t="shared" si="1"/>
        <v/>
      </c>
      <c r="H116" s="14">
        <v>3000000.0</v>
      </c>
      <c r="I116" s="16" t="str">
        <f t="shared" ref="I116:M116" si="112">IF(OR(B116="",B115=""),"",B116-B115)</f>
        <v/>
      </c>
      <c r="J116" s="16" t="str">
        <f t="shared" si="112"/>
        <v/>
      </c>
      <c r="K116" s="16" t="str">
        <f t="shared" si="112"/>
        <v/>
      </c>
      <c r="L116" s="16" t="str">
        <f t="shared" si="112"/>
        <v/>
      </c>
      <c r="M116" s="16" t="str">
        <f t="shared" si="112"/>
        <v/>
      </c>
    </row>
    <row r="117" ht="15.75" customHeight="1">
      <c r="A117" s="11">
        <v>46287.0</v>
      </c>
      <c r="B117" s="12"/>
      <c r="C117" s="12"/>
      <c r="D117" s="12"/>
      <c r="E117" s="12"/>
      <c r="F117" s="12"/>
      <c r="G117" s="13" t="str">
        <f t="shared" si="1"/>
        <v/>
      </c>
      <c r="H117" s="14">
        <v>3000000.0</v>
      </c>
      <c r="I117" s="16" t="str">
        <f t="shared" ref="I117:M117" si="113">IF(OR(B117="",B116=""),"",B117-B116)</f>
        <v/>
      </c>
      <c r="J117" s="16" t="str">
        <f t="shared" si="113"/>
        <v/>
      </c>
      <c r="K117" s="16" t="str">
        <f t="shared" si="113"/>
        <v/>
      </c>
      <c r="L117" s="16" t="str">
        <f t="shared" si="113"/>
        <v/>
      </c>
      <c r="M117" s="16" t="str">
        <f t="shared" si="113"/>
        <v/>
      </c>
    </row>
    <row r="118" ht="15.75" customHeight="1">
      <c r="A118" s="11">
        <v>46288.0</v>
      </c>
      <c r="B118" s="12"/>
      <c r="C118" s="12"/>
      <c r="D118" s="12"/>
      <c r="E118" s="12"/>
      <c r="F118" s="12"/>
      <c r="G118" s="13" t="str">
        <f t="shared" si="1"/>
        <v/>
      </c>
      <c r="H118" s="14">
        <v>3000000.0</v>
      </c>
      <c r="I118" s="16" t="str">
        <f t="shared" ref="I118:M118" si="114">IF(OR(B118="",B117=""),"",B118-B117)</f>
        <v/>
      </c>
      <c r="J118" s="16" t="str">
        <f t="shared" si="114"/>
        <v/>
      </c>
      <c r="K118" s="16" t="str">
        <f t="shared" si="114"/>
        <v/>
      </c>
      <c r="L118" s="16" t="str">
        <f t="shared" si="114"/>
        <v/>
      </c>
      <c r="M118" s="16" t="str">
        <f t="shared" si="114"/>
        <v/>
      </c>
    </row>
    <row r="119" ht="15.75" customHeight="1">
      <c r="A119" s="11">
        <v>46289.0</v>
      </c>
      <c r="B119" s="12"/>
      <c r="C119" s="12"/>
      <c r="D119" s="12"/>
      <c r="E119" s="12"/>
      <c r="F119" s="12"/>
      <c r="G119" s="13" t="str">
        <f t="shared" si="1"/>
        <v/>
      </c>
      <c r="H119" s="14">
        <v>3000000.0</v>
      </c>
      <c r="I119" s="16" t="str">
        <f t="shared" ref="I119:M119" si="115">IF(OR(B119="",B118=""),"",B119-B118)</f>
        <v/>
      </c>
      <c r="J119" s="16" t="str">
        <f t="shared" si="115"/>
        <v/>
      </c>
      <c r="K119" s="16" t="str">
        <f t="shared" si="115"/>
        <v/>
      </c>
      <c r="L119" s="16" t="str">
        <f t="shared" si="115"/>
        <v/>
      </c>
      <c r="M119" s="16" t="str">
        <f t="shared" si="115"/>
        <v/>
      </c>
    </row>
    <row r="120" ht="15.75" customHeight="1">
      <c r="A120" s="11">
        <v>46290.0</v>
      </c>
      <c r="B120" s="12"/>
      <c r="C120" s="12"/>
      <c r="D120" s="12"/>
      <c r="E120" s="12"/>
      <c r="F120" s="12"/>
      <c r="G120" s="13" t="str">
        <f t="shared" si="1"/>
        <v/>
      </c>
      <c r="H120" s="14">
        <v>3000000.0</v>
      </c>
      <c r="I120" s="16" t="str">
        <f t="shared" ref="I120:M120" si="116">IF(OR(B120="",B119=""),"",B120-B119)</f>
        <v/>
      </c>
      <c r="J120" s="16" t="str">
        <f t="shared" si="116"/>
        <v/>
      </c>
      <c r="K120" s="16" t="str">
        <f t="shared" si="116"/>
        <v/>
      </c>
      <c r="L120" s="16" t="str">
        <f t="shared" si="116"/>
        <v/>
      </c>
      <c r="M120" s="16" t="str">
        <f t="shared" si="116"/>
        <v/>
      </c>
    </row>
    <row r="121" ht="15.75" customHeight="1">
      <c r="A121" s="11">
        <v>46291.0</v>
      </c>
      <c r="B121" s="12"/>
      <c r="C121" s="12"/>
      <c r="D121" s="12"/>
      <c r="E121" s="12"/>
      <c r="F121" s="12"/>
      <c r="G121" s="13" t="str">
        <f t="shared" si="1"/>
        <v/>
      </c>
      <c r="H121" s="14">
        <v>3000000.0</v>
      </c>
      <c r="I121" s="16" t="str">
        <f t="shared" ref="I121:M121" si="117">IF(OR(B121="",B120=""),"",B121-B120)</f>
        <v/>
      </c>
      <c r="J121" s="16" t="str">
        <f t="shared" si="117"/>
        <v/>
      </c>
      <c r="K121" s="16" t="str">
        <f t="shared" si="117"/>
        <v/>
      </c>
      <c r="L121" s="16" t="str">
        <f t="shared" si="117"/>
        <v/>
      </c>
      <c r="M121" s="16" t="str">
        <f t="shared" si="117"/>
        <v/>
      </c>
    </row>
    <row r="122" ht="15.75" customHeight="1">
      <c r="A122" s="11">
        <v>46292.0</v>
      </c>
      <c r="B122" s="12"/>
      <c r="C122" s="12"/>
      <c r="D122" s="12"/>
      <c r="E122" s="12"/>
      <c r="F122" s="12"/>
      <c r="G122" s="13" t="str">
        <f t="shared" si="1"/>
        <v/>
      </c>
      <c r="H122" s="14">
        <v>3000000.0</v>
      </c>
      <c r="I122" s="16" t="str">
        <f t="shared" ref="I122:M122" si="118">IF(OR(B122="",B121=""),"",B122-B121)</f>
        <v/>
      </c>
      <c r="J122" s="16" t="str">
        <f t="shared" si="118"/>
        <v/>
      </c>
      <c r="K122" s="16" t="str">
        <f t="shared" si="118"/>
        <v/>
      </c>
      <c r="L122" s="16" t="str">
        <f t="shared" si="118"/>
        <v/>
      </c>
      <c r="M122" s="16" t="str">
        <f t="shared" si="118"/>
        <v/>
      </c>
    </row>
    <row r="123" ht="15.75" customHeight="1">
      <c r="A123" s="11">
        <v>46293.0</v>
      </c>
      <c r="B123" s="12"/>
      <c r="C123" s="12"/>
      <c r="D123" s="12"/>
      <c r="E123" s="12"/>
      <c r="F123" s="12"/>
      <c r="G123" s="13" t="str">
        <f t="shared" si="1"/>
        <v/>
      </c>
      <c r="H123" s="14">
        <v>3000000.0</v>
      </c>
      <c r="I123" s="16" t="str">
        <f t="shared" ref="I123:M123" si="119">IF(OR(B123="",B122=""),"",B123-B122)</f>
        <v/>
      </c>
      <c r="J123" s="16" t="str">
        <f t="shared" si="119"/>
        <v/>
      </c>
      <c r="K123" s="16" t="str">
        <f t="shared" si="119"/>
        <v/>
      </c>
      <c r="L123" s="16" t="str">
        <f t="shared" si="119"/>
        <v/>
      </c>
      <c r="M123" s="16" t="str">
        <f t="shared" si="119"/>
        <v/>
      </c>
    </row>
    <row r="124" ht="15.75" customHeight="1">
      <c r="A124" s="11">
        <v>46294.0</v>
      </c>
      <c r="B124" s="12"/>
      <c r="C124" s="12"/>
      <c r="D124" s="12"/>
      <c r="E124" s="12"/>
      <c r="F124" s="12"/>
      <c r="G124" s="13" t="str">
        <f t="shared" si="1"/>
        <v/>
      </c>
      <c r="H124" s="14">
        <v>3000000.0</v>
      </c>
      <c r="I124" s="16" t="str">
        <f t="shared" ref="I124:M124" si="120">IF(OR(B124="",B123=""),"",B124-B123)</f>
        <v/>
      </c>
      <c r="J124" s="16" t="str">
        <f t="shared" si="120"/>
        <v/>
      </c>
      <c r="K124" s="16" t="str">
        <f t="shared" si="120"/>
        <v/>
      </c>
      <c r="L124" s="16" t="str">
        <f t="shared" si="120"/>
        <v/>
      </c>
      <c r="M124" s="16" t="str">
        <f t="shared" si="120"/>
        <v/>
      </c>
    </row>
    <row r="125" ht="15.75" customHeight="1">
      <c r="A125" s="11">
        <v>46295.0</v>
      </c>
      <c r="B125" s="12"/>
      <c r="C125" s="12"/>
      <c r="D125" s="12"/>
      <c r="E125" s="12"/>
      <c r="F125" s="12"/>
      <c r="G125" s="13" t="str">
        <f t="shared" si="1"/>
        <v/>
      </c>
      <c r="H125" s="14">
        <v>3000000.0</v>
      </c>
      <c r="I125" s="16" t="str">
        <f t="shared" ref="I125:M125" si="121">IF(OR(B125="",B124=""),"",B125-B124)</f>
        <v/>
      </c>
      <c r="J125" s="16" t="str">
        <f t="shared" si="121"/>
        <v/>
      </c>
      <c r="K125" s="16" t="str">
        <f t="shared" si="121"/>
        <v/>
      </c>
      <c r="L125" s="16" t="str">
        <f t="shared" si="121"/>
        <v/>
      </c>
      <c r="M125" s="16" t="str">
        <f t="shared" si="121"/>
        <v/>
      </c>
    </row>
    <row r="126" ht="15.75" customHeight="1">
      <c r="A126" s="11">
        <v>46296.0</v>
      </c>
      <c r="B126" s="12"/>
      <c r="C126" s="12"/>
      <c r="D126" s="12"/>
      <c r="E126" s="12"/>
      <c r="F126" s="12"/>
      <c r="G126" s="13" t="str">
        <f t="shared" si="1"/>
        <v/>
      </c>
      <c r="H126" s="14">
        <v>3000000.0</v>
      </c>
      <c r="I126" s="16" t="str">
        <f t="shared" ref="I126:M126" si="122">IF(OR(B126="",B125=""),"",B126-B125)</f>
        <v/>
      </c>
      <c r="J126" s="16" t="str">
        <f t="shared" si="122"/>
        <v/>
      </c>
      <c r="K126" s="16" t="str">
        <f t="shared" si="122"/>
        <v/>
      </c>
      <c r="L126" s="16" t="str">
        <f t="shared" si="122"/>
        <v/>
      </c>
      <c r="M126" s="16" t="str">
        <f t="shared" si="122"/>
        <v/>
      </c>
    </row>
    <row r="127" ht="15.75" customHeight="1">
      <c r="A127" s="11">
        <v>46297.0</v>
      </c>
      <c r="B127" s="12"/>
      <c r="C127" s="12"/>
      <c r="D127" s="12"/>
      <c r="E127" s="12"/>
      <c r="F127" s="12"/>
      <c r="G127" s="13" t="str">
        <f t="shared" si="1"/>
        <v/>
      </c>
      <c r="H127" s="14">
        <v>3000000.0</v>
      </c>
      <c r="I127" s="16" t="str">
        <f t="shared" ref="I127:M127" si="123">IF(OR(B127="",B126=""),"",B127-B126)</f>
        <v/>
      </c>
      <c r="J127" s="16" t="str">
        <f t="shared" si="123"/>
        <v/>
      </c>
      <c r="K127" s="16" t="str">
        <f t="shared" si="123"/>
        <v/>
      </c>
      <c r="L127" s="16" t="str">
        <f t="shared" si="123"/>
        <v/>
      </c>
      <c r="M127" s="16" t="str">
        <f t="shared" si="123"/>
        <v/>
      </c>
    </row>
    <row r="128" ht="15.75" customHeight="1">
      <c r="A128" s="11">
        <v>46298.0</v>
      </c>
      <c r="B128" s="12"/>
      <c r="C128" s="12"/>
      <c r="D128" s="12"/>
      <c r="E128" s="12"/>
      <c r="F128" s="12"/>
      <c r="G128" s="13" t="str">
        <f t="shared" si="1"/>
        <v/>
      </c>
      <c r="H128" s="14">
        <v>3000000.0</v>
      </c>
      <c r="I128" s="16" t="str">
        <f t="shared" ref="I128:M128" si="124">IF(OR(B128="",B127=""),"",B128-B127)</f>
        <v/>
      </c>
      <c r="J128" s="16" t="str">
        <f t="shared" si="124"/>
        <v/>
      </c>
      <c r="K128" s="16" t="str">
        <f t="shared" si="124"/>
        <v/>
      </c>
      <c r="L128" s="16" t="str">
        <f t="shared" si="124"/>
        <v/>
      </c>
      <c r="M128" s="16" t="str">
        <f t="shared" si="124"/>
        <v/>
      </c>
    </row>
    <row r="129" ht="15.75" customHeight="1">
      <c r="A129" s="11">
        <v>46299.0</v>
      </c>
      <c r="B129" s="12"/>
      <c r="C129" s="12"/>
      <c r="D129" s="12"/>
      <c r="E129" s="12"/>
      <c r="F129" s="12"/>
      <c r="G129" s="13" t="str">
        <f t="shared" si="1"/>
        <v/>
      </c>
      <c r="H129" s="14">
        <v>3000000.0</v>
      </c>
      <c r="I129" s="16" t="str">
        <f t="shared" ref="I129:M129" si="125">IF(OR(B129="",B128=""),"",B129-B128)</f>
        <v/>
      </c>
      <c r="J129" s="16" t="str">
        <f t="shared" si="125"/>
        <v/>
      </c>
      <c r="K129" s="16" t="str">
        <f t="shared" si="125"/>
        <v/>
      </c>
      <c r="L129" s="16" t="str">
        <f t="shared" si="125"/>
        <v/>
      </c>
      <c r="M129" s="16" t="str">
        <f t="shared" si="125"/>
        <v/>
      </c>
    </row>
    <row r="130" ht="15.75" customHeight="1">
      <c r="A130" s="11">
        <v>46300.0</v>
      </c>
      <c r="B130" s="12"/>
      <c r="C130" s="12"/>
      <c r="D130" s="12"/>
      <c r="E130" s="12"/>
      <c r="F130" s="12"/>
      <c r="G130" s="13" t="str">
        <f t="shared" si="1"/>
        <v/>
      </c>
      <c r="H130" s="14">
        <v>3000000.0</v>
      </c>
      <c r="I130" s="16" t="str">
        <f t="shared" ref="I130:M130" si="126">IF(OR(B130="",B129=""),"",B130-B129)</f>
        <v/>
      </c>
      <c r="J130" s="16" t="str">
        <f t="shared" si="126"/>
        <v/>
      </c>
      <c r="K130" s="16" t="str">
        <f t="shared" si="126"/>
        <v/>
      </c>
      <c r="L130" s="16" t="str">
        <f t="shared" si="126"/>
        <v/>
      </c>
      <c r="M130" s="16" t="str">
        <f t="shared" si="126"/>
        <v/>
      </c>
    </row>
    <row r="131" ht="15.75" customHeight="1">
      <c r="A131" s="11">
        <v>46301.0</v>
      </c>
      <c r="B131" s="12"/>
      <c r="C131" s="12"/>
      <c r="D131" s="12"/>
      <c r="E131" s="12"/>
      <c r="F131" s="12"/>
      <c r="G131" s="13" t="str">
        <f t="shared" si="1"/>
        <v/>
      </c>
      <c r="H131" s="14">
        <v>3000000.0</v>
      </c>
      <c r="I131" s="16" t="str">
        <f t="shared" ref="I131:M131" si="127">IF(OR(B131="",B130=""),"",B131-B130)</f>
        <v/>
      </c>
      <c r="J131" s="16" t="str">
        <f t="shared" si="127"/>
        <v/>
      </c>
      <c r="K131" s="16" t="str">
        <f t="shared" si="127"/>
        <v/>
      </c>
      <c r="L131" s="16" t="str">
        <f t="shared" si="127"/>
        <v/>
      </c>
      <c r="M131" s="16" t="str">
        <f t="shared" si="127"/>
        <v/>
      </c>
    </row>
    <row r="132" ht="15.75" customHeight="1">
      <c r="A132" s="11">
        <v>46302.0</v>
      </c>
      <c r="B132" s="12"/>
      <c r="C132" s="12"/>
      <c r="D132" s="12"/>
      <c r="E132" s="12"/>
      <c r="F132" s="12"/>
      <c r="G132" s="13" t="str">
        <f t="shared" si="1"/>
        <v/>
      </c>
      <c r="H132" s="14">
        <v>3000000.0</v>
      </c>
      <c r="I132" s="16" t="str">
        <f t="shared" ref="I132:M132" si="128">IF(OR(B132="",B131=""),"",B132-B131)</f>
        <v/>
      </c>
      <c r="J132" s="16" t="str">
        <f t="shared" si="128"/>
        <v/>
      </c>
      <c r="K132" s="16" t="str">
        <f t="shared" si="128"/>
        <v/>
      </c>
      <c r="L132" s="16" t="str">
        <f t="shared" si="128"/>
        <v/>
      </c>
      <c r="M132" s="16" t="str">
        <f t="shared" si="128"/>
        <v/>
      </c>
    </row>
    <row r="133" ht="15.75" customHeight="1">
      <c r="A133" s="11">
        <v>46303.0</v>
      </c>
      <c r="B133" s="12"/>
      <c r="C133" s="12"/>
      <c r="D133" s="12"/>
      <c r="E133" s="12"/>
      <c r="F133" s="12"/>
      <c r="G133" s="13" t="str">
        <f t="shared" si="1"/>
        <v/>
      </c>
      <c r="H133" s="14">
        <v>3000000.0</v>
      </c>
      <c r="I133" s="16" t="str">
        <f t="shared" ref="I133:M133" si="129">IF(OR(B133="",B132=""),"",B133-B132)</f>
        <v/>
      </c>
      <c r="J133" s="16" t="str">
        <f t="shared" si="129"/>
        <v/>
      </c>
      <c r="K133" s="16" t="str">
        <f t="shared" si="129"/>
        <v/>
      </c>
      <c r="L133" s="16" t="str">
        <f t="shared" si="129"/>
        <v/>
      </c>
      <c r="M133" s="16" t="str">
        <f t="shared" si="129"/>
        <v/>
      </c>
    </row>
    <row r="134" ht="15.75" customHeight="1">
      <c r="A134" s="11">
        <v>46304.0</v>
      </c>
      <c r="B134" s="12"/>
      <c r="C134" s="12"/>
      <c r="D134" s="12"/>
      <c r="E134" s="12"/>
      <c r="F134" s="12"/>
      <c r="G134" s="13" t="str">
        <f t="shared" si="1"/>
        <v/>
      </c>
      <c r="H134" s="14">
        <v>3000000.0</v>
      </c>
      <c r="I134" s="16" t="str">
        <f t="shared" ref="I134:M134" si="130">IF(OR(B134="",B133=""),"",B134-B133)</f>
        <v/>
      </c>
      <c r="J134" s="16" t="str">
        <f t="shared" si="130"/>
        <v/>
      </c>
      <c r="K134" s="16" t="str">
        <f t="shared" si="130"/>
        <v/>
      </c>
      <c r="L134" s="16" t="str">
        <f t="shared" si="130"/>
        <v/>
      </c>
      <c r="M134" s="16" t="str">
        <f t="shared" si="130"/>
        <v/>
      </c>
    </row>
    <row r="135" ht="15.75" customHeight="1">
      <c r="A135" s="11">
        <v>46305.0</v>
      </c>
      <c r="B135" s="12"/>
      <c r="C135" s="12"/>
      <c r="D135" s="12"/>
      <c r="E135" s="12"/>
      <c r="F135" s="12"/>
      <c r="G135" s="13" t="str">
        <f t="shared" si="1"/>
        <v/>
      </c>
      <c r="H135" s="14">
        <v>3000000.0</v>
      </c>
      <c r="I135" s="16" t="str">
        <f t="shared" ref="I135:M135" si="131">IF(OR(B135="",B134=""),"",B135-B134)</f>
        <v/>
      </c>
      <c r="J135" s="16" t="str">
        <f t="shared" si="131"/>
        <v/>
      </c>
      <c r="K135" s="16" t="str">
        <f t="shared" si="131"/>
        <v/>
      </c>
      <c r="L135" s="16" t="str">
        <f t="shared" si="131"/>
        <v/>
      </c>
      <c r="M135" s="16" t="str">
        <f t="shared" si="131"/>
        <v/>
      </c>
    </row>
    <row r="136" ht="15.75" customHeight="1">
      <c r="A136" s="11">
        <v>46306.0</v>
      </c>
      <c r="B136" s="12"/>
      <c r="C136" s="12"/>
      <c r="D136" s="12"/>
      <c r="E136" s="12"/>
      <c r="F136" s="12"/>
      <c r="G136" s="13" t="str">
        <f t="shared" si="1"/>
        <v/>
      </c>
      <c r="H136" s="14">
        <v>3000000.0</v>
      </c>
      <c r="I136" s="16" t="str">
        <f t="shared" ref="I136:M136" si="132">IF(OR(B136="",B135=""),"",B136-B135)</f>
        <v/>
      </c>
      <c r="J136" s="16" t="str">
        <f t="shared" si="132"/>
        <v/>
      </c>
      <c r="K136" s="16" t="str">
        <f t="shared" si="132"/>
        <v/>
      </c>
      <c r="L136" s="16" t="str">
        <f t="shared" si="132"/>
        <v/>
      </c>
      <c r="M136" s="16" t="str">
        <f t="shared" si="132"/>
        <v/>
      </c>
    </row>
    <row r="137" ht="15.75" customHeight="1">
      <c r="A137" s="11">
        <v>46307.0</v>
      </c>
      <c r="B137" s="12"/>
      <c r="C137" s="12"/>
      <c r="D137" s="12"/>
      <c r="E137" s="12"/>
      <c r="F137" s="12"/>
      <c r="G137" s="13" t="str">
        <f t="shared" si="1"/>
        <v/>
      </c>
      <c r="H137" s="14">
        <v>3000000.0</v>
      </c>
      <c r="I137" s="16" t="str">
        <f t="shared" ref="I137:M137" si="133">IF(OR(B137="",B136=""),"",B137-B136)</f>
        <v/>
      </c>
      <c r="J137" s="16" t="str">
        <f t="shared" si="133"/>
        <v/>
      </c>
      <c r="K137" s="16" t="str">
        <f t="shared" si="133"/>
        <v/>
      </c>
      <c r="L137" s="16" t="str">
        <f t="shared" si="133"/>
        <v/>
      </c>
      <c r="M137" s="16" t="str">
        <f t="shared" si="133"/>
        <v/>
      </c>
    </row>
    <row r="138" ht="15.75" customHeight="1">
      <c r="A138" s="11">
        <v>46308.0</v>
      </c>
      <c r="B138" s="12"/>
      <c r="C138" s="12"/>
      <c r="D138" s="12"/>
      <c r="E138" s="12"/>
      <c r="F138" s="12"/>
      <c r="G138" s="13" t="str">
        <f t="shared" si="1"/>
        <v/>
      </c>
      <c r="H138" s="14">
        <v>3000000.0</v>
      </c>
      <c r="I138" s="16" t="str">
        <f t="shared" ref="I138:M138" si="134">IF(OR(B138="",B137=""),"",B138-B137)</f>
        <v/>
      </c>
      <c r="J138" s="16" t="str">
        <f t="shared" si="134"/>
        <v/>
      </c>
      <c r="K138" s="16" t="str">
        <f t="shared" si="134"/>
        <v/>
      </c>
      <c r="L138" s="16" t="str">
        <f t="shared" si="134"/>
        <v/>
      </c>
      <c r="M138" s="16" t="str">
        <f t="shared" si="134"/>
        <v/>
      </c>
    </row>
    <row r="139" ht="15.75" customHeight="1">
      <c r="A139" s="11">
        <v>46309.0</v>
      </c>
      <c r="B139" s="12"/>
      <c r="C139" s="12"/>
      <c r="D139" s="12"/>
      <c r="E139" s="12"/>
      <c r="F139" s="12"/>
      <c r="G139" s="13" t="str">
        <f t="shared" si="1"/>
        <v/>
      </c>
      <c r="H139" s="14">
        <v>3000000.0</v>
      </c>
      <c r="I139" s="16" t="str">
        <f t="shared" ref="I139:M139" si="135">IF(OR(B139="",B138=""),"",B139-B138)</f>
        <v/>
      </c>
      <c r="J139" s="16" t="str">
        <f t="shared" si="135"/>
        <v/>
      </c>
      <c r="K139" s="16" t="str">
        <f t="shared" si="135"/>
        <v/>
      </c>
      <c r="L139" s="16" t="str">
        <f t="shared" si="135"/>
        <v/>
      </c>
      <c r="M139" s="16" t="str">
        <f t="shared" si="135"/>
        <v/>
      </c>
    </row>
    <row r="140" ht="15.75" customHeight="1">
      <c r="A140" s="11">
        <v>46310.0</v>
      </c>
      <c r="B140" s="12"/>
      <c r="C140" s="12"/>
      <c r="D140" s="12"/>
      <c r="E140" s="12"/>
      <c r="F140" s="12"/>
      <c r="G140" s="13" t="str">
        <f t="shared" si="1"/>
        <v/>
      </c>
      <c r="H140" s="14">
        <v>3000000.0</v>
      </c>
      <c r="I140" s="16" t="str">
        <f t="shared" ref="I140:M140" si="136">IF(OR(B140="",B139=""),"",B140-B139)</f>
        <v/>
      </c>
      <c r="J140" s="16" t="str">
        <f t="shared" si="136"/>
        <v/>
      </c>
      <c r="K140" s="16" t="str">
        <f t="shared" si="136"/>
        <v/>
      </c>
      <c r="L140" s="16" t="str">
        <f t="shared" si="136"/>
        <v/>
      </c>
      <c r="M140" s="16" t="str">
        <f t="shared" si="136"/>
        <v/>
      </c>
    </row>
    <row r="141" ht="15.75" customHeight="1">
      <c r="A141" s="11">
        <v>46311.0</v>
      </c>
      <c r="B141" s="12"/>
      <c r="C141" s="12"/>
      <c r="D141" s="12"/>
      <c r="E141" s="12"/>
      <c r="F141" s="12"/>
      <c r="G141" s="13" t="str">
        <f t="shared" si="1"/>
        <v/>
      </c>
      <c r="H141" s="14">
        <v>3000000.0</v>
      </c>
      <c r="I141" s="16" t="str">
        <f t="shared" ref="I141:M141" si="137">IF(OR(B141="",B140=""),"",B141-B140)</f>
        <v/>
      </c>
      <c r="J141" s="16" t="str">
        <f t="shared" si="137"/>
        <v/>
      </c>
      <c r="K141" s="16" t="str">
        <f t="shared" si="137"/>
        <v/>
      </c>
      <c r="L141" s="16" t="str">
        <f t="shared" si="137"/>
        <v/>
      </c>
      <c r="M141" s="16" t="str">
        <f t="shared" si="137"/>
        <v/>
      </c>
    </row>
    <row r="142" ht="15.75" customHeight="1">
      <c r="A142" s="11">
        <v>46312.0</v>
      </c>
      <c r="B142" s="12"/>
      <c r="C142" s="12"/>
      <c r="D142" s="12"/>
      <c r="E142" s="12"/>
      <c r="F142" s="12"/>
      <c r="G142" s="13" t="str">
        <f t="shared" si="1"/>
        <v/>
      </c>
      <c r="H142" s="14">
        <v>3000000.0</v>
      </c>
      <c r="I142" s="16" t="str">
        <f t="shared" ref="I142:M142" si="138">IF(OR(B142="",B141=""),"",B142-B141)</f>
        <v/>
      </c>
      <c r="J142" s="16" t="str">
        <f t="shared" si="138"/>
        <v/>
      </c>
      <c r="K142" s="16" t="str">
        <f t="shared" si="138"/>
        <v/>
      </c>
      <c r="L142" s="16" t="str">
        <f t="shared" si="138"/>
        <v/>
      </c>
      <c r="M142" s="16" t="str">
        <f t="shared" si="138"/>
        <v/>
      </c>
    </row>
    <row r="143" ht="15.75" customHeight="1">
      <c r="A143" s="11">
        <v>46313.0</v>
      </c>
      <c r="B143" s="12"/>
      <c r="C143" s="12"/>
      <c r="D143" s="12"/>
      <c r="E143" s="12"/>
      <c r="F143" s="12"/>
      <c r="G143" s="13" t="str">
        <f t="shared" si="1"/>
        <v/>
      </c>
      <c r="H143" s="14">
        <v>3000000.0</v>
      </c>
      <c r="I143" s="16" t="str">
        <f t="shared" ref="I143:M143" si="139">IF(OR(B143="",B142=""),"",B143-B142)</f>
        <v/>
      </c>
      <c r="J143" s="16" t="str">
        <f t="shared" si="139"/>
        <v/>
      </c>
      <c r="K143" s="16" t="str">
        <f t="shared" si="139"/>
        <v/>
      </c>
      <c r="L143" s="16" t="str">
        <f t="shared" si="139"/>
        <v/>
      </c>
      <c r="M143" s="16" t="str">
        <f t="shared" si="139"/>
        <v/>
      </c>
    </row>
    <row r="144" ht="15.75" customHeight="1">
      <c r="A144" s="11">
        <v>46314.0</v>
      </c>
      <c r="B144" s="12"/>
      <c r="C144" s="12"/>
      <c r="D144" s="12"/>
      <c r="E144" s="12"/>
      <c r="F144" s="12"/>
      <c r="G144" s="13" t="str">
        <f t="shared" si="1"/>
        <v/>
      </c>
      <c r="H144" s="14">
        <v>3000000.0</v>
      </c>
      <c r="I144" s="16" t="str">
        <f t="shared" ref="I144:M144" si="140">IF(OR(B144="",B143=""),"",B144-B143)</f>
        <v/>
      </c>
      <c r="J144" s="16" t="str">
        <f t="shared" si="140"/>
        <v/>
      </c>
      <c r="K144" s="16" t="str">
        <f t="shared" si="140"/>
        <v/>
      </c>
      <c r="L144" s="16" t="str">
        <f t="shared" si="140"/>
        <v/>
      </c>
      <c r="M144" s="16" t="str">
        <f t="shared" si="140"/>
        <v/>
      </c>
    </row>
    <row r="145" ht="15.75" customHeight="1">
      <c r="A145" s="11">
        <v>46315.0</v>
      </c>
      <c r="B145" s="12"/>
      <c r="C145" s="12"/>
      <c r="D145" s="12"/>
      <c r="E145" s="12"/>
      <c r="F145" s="12"/>
      <c r="G145" s="13" t="str">
        <f t="shared" si="1"/>
        <v/>
      </c>
      <c r="H145" s="14">
        <v>3000000.0</v>
      </c>
      <c r="I145" s="16" t="str">
        <f t="shared" ref="I145:M145" si="141">IF(OR(B145="",B144=""),"",B145-B144)</f>
        <v/>
      </c>
      <c r="J145" s="16" t="str">
        <f t="shared" si="141"/>
        <v/>
      </c>
      <c r="K145" s="16" t="str">
        <f t="shared" si="141"/>
        <v/>
      </c>
      <c r="L145" s="16" t="str">
        <f t="shared" si="141"/>
        <v/>
      </c>
      <c r="M145" s="16" t="str">
        <f t="shared" si="141"/>
        <v/>
      </c>
    </row>
    <row r="146" ht="15.75" customHeight="1">
      <c r="A146" s="11">
        <v>46316.0</v>
      </c>
      <c r="B146" s="12"/>
      <c r="C146" s="12"/>
      <c r="D146" s="12"/>
      <c r="E146" s="12"/>
      <c r="F146" s="12"/>
      <c r="G146" s="13" t="str">
        <f t="shared" si="1"/>
        <v/>
      </c>
      <c r="H146" s="14">
        <v>3000000.0</v>
      </c>
      <c r="I146" s="16" t="str">
        <f t="shared" ref="I146:M146" si="142">IF(OR(B146="",B145=""),"",B146-B145)</f>
        <v/>
      </c>
      <c r="J146" s="16" t="str">
        <f t="shared" si="142"/>
        <v/>
      </c>
      <c r="K146" s="16" t="str">
        <f t="shared" si="142"/>
        <v/>
      </c>
      <c r="L146" s="16" t="str">
        <f t="shared" si="142"/>
        <v/>
      </c>
      <c r="M146" s="16" t="str">
        <f t="shared" si="142"/>
        <v/>
      </c>
    </row>
    <row r="147" ht="15.75" customHeight="1">
      <c r="A147" s="11">
        <v>46317.0</v>
      </c>
      <c r="B147" s="12"/>
      <c r="C147" s="12"/>
      <c r="D147" s="12"/>
      <c r="E147" s="12"/>
      <c r="F147" s="12"/>
      <c r="G147" s="13" t="str">
        <f t="shared" si="1"/>
        <v/>
      </c>
      <c r="H147" s="14">
        <v>3000000.0</v>
      </c>
      <c r="I147" s="16" t="str">
        <f t="shared" ref="I147:M147" si="143">IF(OR(B147="",B146=""),"",B147-B146)</f>
        <v/>
      </c>
      <c r="J147" s="16" t="str">
        <f t="shared" si="143"/>
        <v/>
      </c>
      <c r="K147" s="16" t="str">
        <f t="shared" si="143"/>
        <v/>
      </c>
      <c r="L147" s="16" t="str">
        <f t="shared" si="143"/>
        <v/>
      </c>
      <c r="M147" s="16" t="str">
        <f t="shared" si="143"/>
        <v/>
      </c>
    </row>
    <row r="148" ht="15.75" customHeight="1">
      <c r="A148" s="11">
        <v>46318.0</v>
      </c>
      <c r="B148" s="12"/>
      <c r="C148" s="12"/>
      <c r="D148" s="12"/>
      <c r="E148" s="12"/>
      <c r="F148" s="12"/>
      <c r="G148" s="13" t="str">
        <f t="shared" si="1"/>
        <v/>
      </c>
      <c r="H148" s="14">
        <v>3000000.0</v>
      </c>
      <c r="I148" s="16" t="str">
        <f t="shared" ref="I148:M148" si="144">IF(OR(B148="",B147=""),"",B148-B147)</f>
        <v/>
      </c>
      <c r="J148" s="16" t="str">
        <f t="shared" si="144"/>
        <v/>
      </c>
      <c r="K148" s="16" t="str">
        <f t="shared" si="144"/>
        <v/>
      </c>
      <c r="L148" s="16" t="str">
        <f t="shared" si="144"/>
        <v/>
      </c>
      <c r="M148" s="16" t="str">
        <f t="shared" si="144"/>
        <v/>
      </c>
    </row>
    <row r="149" ht="15.75" customHeight="1">
      <c r="A149" s="11">
        <v>46319.0</v>
      </c>
      <c r="B149" s="12"/>
      <c r="C149" s="12"/>
      <c r="D149" s="12"/>
      <c r="E149" s="12"/>
      <c r="F149" s="12"/>
      <c r="G149" s="13" t="str">
        <f t="shared" si="1"/>
        <v/>
      </c>
      <c r="H149" s="14">
        <v>3000000.0</v>
      </c>
      <c r="I149" s="16" t="str">
        <f t="shared" ref="I149:M149" si="145">IF(OR(B149="",B148=""),"",B149-B148)</f>
        <v/>
      </c>
      <c r="J149" s="16" t="str">
        <f t="shared" si="145"/>
        <v/>
      </c>
      <c r="K149" s="16" t="str">
        <f t="shared" si="145"/>
        <v/>
      </c>
      <c r="L149" s="16" t="str">
        <f t="shared" si="145"/>
        <v/>
      </c>
      <c r="M149" s="16" t="str">
        <f t="shared" si="145"/>
        <v/>
      </c>
    </row>
    <row r="150" ht="15.75" customHeight="1">
      <c r="A150" s="11">
        <v>46320.0</v>
      </c>
      <c r="B150" s="12"/>
      <c r="C150" s="12"/>
      <c r="D150" s="12"/>
      <c r="E150" s="12"/>
      <c r="F150" s="12"/>
      <c r="G150" s="13" t="str">
        <f t="shared" si="1"/>
        <v/>
      </c>
      <c r="H150" s="14">
        <v>3000000.0</v>
      </c>
      <c r="I150" s="16" t="str">
        <f t="shared" ref="I150:M150" si="146">IF(OR(B150="",B149=""),"",B150-B149)</f>
        <v/>
      </c>
      <c r="J150" s="16" t="str">
        <f t="shared" si="146"/>
        <v/>
      </c>
      <c r="K150" s="16" t="str">
        <f t="shared" si="146"/>
        <v/>
      </c>
      <c r="L150" s="16" t="str">
        <f t="shared" si="146"/>
        <v/>
      </c>
      <c r="M150" s="16" t="str">
        <f t="shared" si="146"/>
        <v/>
      </c>
    </row>
    <row r="151" ht="15.75" customHeight="1">
      <c r="A151" s="11">
        <v>46321.0</v>
      </c>
      <c r="B151" s="12"/>
      <c r="C151" s="12"/>
      <c r="D151" s="12"/>
      <c r="E151" s="12"/>
      <c r="F151" s="12"/>
      <c r="G151" s="13" t="str">
        <f t="shared" si="1"/>
        <v/>
      </c>
      <c r="H151" s="14">
        <v>3000000.0</v>
      </c>
      <c r="I151" s="16" t="str">
        <f t="shared" ref="I151:M151" si="147">IF(OR(B151="",B150=""),"",B151-B150)</f>
        <v/>
      </c>
      <c r="J151" s="16" t="str">
        <f t="shared" si="147"/>
        <v/>
      </c>
      <c r="K151" s="16" t="str">
        <f t="shared" si="147"/>
        <v/>
      </c>
      <c r="L151" s="16" t="str">
        <f t="shared" si="147"/>
        <v/>
      </c>
      <c r="M151" s="16" t="str">
        <f t="shared" si="147"/>
        <v/>
      </c>
    </row>
    <row r="152" ht="15.75" customHeight="1">
      <c r="A152" s="11">
        <v>46322.0</v>
      </c>
      <c r="B152" s="12"/>
      <c r="C152" s="12"/>
      <c r="D152" s="12"/>
      <c r="E152" s="12"/>
      <c r="F152" s="12"/>
      <c r="G152" s="13" t="str">
        <f t="shared" si="1"/>
        <v/>
      </c>
      <c r="H152" s="14">
        <v>3000000.0</v>
      </c>
      <c r="I152" s="16" t="str">
        <f t="shared" ref="I152:M152" si="148">IF(OR(B152="",B151=""),"",B152-B151)</f>
        <v/>
      </c>
      <c r="J152" s="16" t="str">
        <f t="shared" si="148"/>
        <v/>
      </c>
      <c r="K152" s="16" t="str">
        <f t="shared" si="148"/>
        <v/>
      </c>
      <c r="L152" s="16" t="str">
        <f t="shared" si="148"/>
        <v/>
      </c>
      <c r="M152" s="16" t="str">
        <f t="shared" si="148"/>
        <v/>
      </c>
    </row>
    <row r="153" ht="15.75" customHeight="1">
      <c r="A153" s="11">
        <v>46323.0</v>
      </c>
      <c r="B153" s="12"/>
      <c r="C153" s="12"/>
      <c r="D153" s="12"/>
      <c r="E153" s="12"/>
      <c r="F153" s="12"/>
      <c r="G153" s="13" t="str">
        <f t="shared" si="1"/>
        <v/>
      </c>
      <c r="H153" s="14">
        <v>3000000.0</v>
      </c>
      <c r="I153" s="16" t="str">
        <f t="shared" ref="I153:M153" si="149">IF(OR(B153="",B152=""),"",B153-B152)</f>
        <v/>
      </c>
      <c r="J153" s="16" t="str">
        <f t="shared" si="149"/>
        <v/>
      </c>
      <c r="K153" s="16" t="str">
        <f t="shared" si="149"/>
        <v/>
      </c>
      <c r="L153" s="16" t="str">
        <f t="shared" si="149"/>
        <v/>
      </c>
      <c r="M153" s="16" t="str">
        <f t="shared" si="149"/>
        <v/>
      </c>
    </row>
    <row r="154" ht="15.75" customHeight="1">
      <c r="A154" s="11">
        <v>46324.0</v>
      </c>
      <c r="B154" s="12"/>
      <c r="C154" s="12"/>
      <c r="D154" s="12"/>
      <c r="E154" s="12"/>
      <c r="F154" s="12"/>
      <c r="G154" s="13" t="str">
        <f t="shared" si="1"/>
        <v/>
      </c>
      <c r="H154" s="14">
        <v>3000000.0</v>
      </c>
      <c r="I154" s="16" t="str">
        <f t="shared" ref="I154:M154" si="150">IF(OR(B154="",B153=""),"",B154-B153)</f>
        <v/>
      </c>
      <c r="J154" s="16" t="str">
        <f t="shared" si="150"/>
        <v/>
      </c>
      <c r="K154" s="16" t="str">
        <f t="shared" si="150"/>
        <v/>
      </c>
      <c r="L154" s="16" t="str">
        <f t="shared" si="150"/>
        <v/>
      </c>
      <c r="M154" s="16" t="str">
        <f t="shared" si="150"/>
        <v/>
      </c>
    </row>
    <row r="155" ht="15.75" customHeight="1">
      <c r="A155" s="11">
        <v>46325.0</v>
      </c>
      <c r="B155" s="12"/>
      <c r="C155" s="12"/>
      <c r="D155" s="12"/>
      <c r="E155" s="12"/>
      <c r="F155" s="12"/>
      <c r="G155" s="13" t="str">
        <f t="shared" si="1"/>
        <v/>
      </c>
      <c r="H155" s="14">
        <v>3000000.0</v>
      </c>
      <c r="I155" s="16" t="str">
        <f t="shared" ref="I155:M155" si="151">IF(OR(B155="",B154=""),"",B155-B154)</f>
        <v/>
      </c>
      <c r="J155" s="16" t="str">
        <f t="shared" si="151"/>
        <v/>
      </c>
      <c r="K155" s="16" t="str">
        <f t="shared" si="151"/>
        <v/>
      </c>
      <c r="L155" s="16" t="str">
        <f t="shared" si="151"/>
        <v/>
      </c>
      <c r="M155" s="16" t="str">
        <f t="shared" si="151"/>
        <v/>
      </c>
    </row>
    <row r="156" ht="15.75" customHeight="1">
      <c r="A156" s="11">
        <v>46326.0</v>
      </c>
      <c r="B156" s="12"/>
      <c r="C156" s="12"/>
      <c r="D156" s="12"/>
      <c r="E156" s="12"/>
      <c r="F156" s="12"/>
      <c r="G156" s="13" t="str">
        <f t="shared" si="1"/>
        <v/>
      </c>
      <c r="H156" s="14">
        <v>3000000.0</v>
      </c>
      <c r="I156" s="16" t="str">
        <f t="shared" ref="I156:M156" si="152">IF(OR(B156="",B155=""),"",B156-B155)</f>
        <v/>
      </c>
      <c r="J156" s="16" t="str">
        <f t="shared" si="152"/>
        <v/>
      </c>
      <c r="K156" s="16" t="str">
        <f t="shared" si="152"/>
        <v/>
      </c>
      <c r="L156" s="16" t="str">
        <f t="shared" si="152"/>
        <v/>
      </c>
      <c r="M156" s="16" t="str">
        <f t="shared" si="152"/>
        <v/>
      </c>
    </row>
    <row r="157" ht="15.75" customHeight="1">
      <c r="A157" s="11">
        <v>46327.0</v>
      </c>
      <c r="B157" s="12"/>
      <c r="C157" s="12"/>
      <c r="D157" s="12"/>
      <c r="E157" s="12"/>
      <c r="F157" s="12"/>
      <c r="G157" s="13" t="str">
        <f t="shared" si="1"/>
        <v/>
      </c>
      <c r="H157" s="14">
        <v>3000000.0</v>
      </c>
      <c r="I157" s="16" t="str">
        <f t="shared" ref="I157:M157" si="153">IF(OR(B157="",B156=""),"",B157-B156)</f>
        <v/>
      </c>
      <c r="J157" s="16" t="str">
        <f t="shared" si="153"/>
        <v/>
      </c>
      <c r="K157" s="16" t="str">
        <f t="shared" si="153"/>
        <v/>
      </c>
      <c r="L157" s="16" t="str">
        <f t="shared" si="153"/>
        <v/>
      </c>
      <c r="M157" s="16" t="str">
        <f t="shared" si="153"/>
        <v/>
      </c>
    </row>
    <row r="158" ht="15.75" customHeight="1">
      <c r="A158" s="11">
        <v>46328.0</v>
      </c>
      <c r="B158" s="12"/>
      <c r="C158" s="12"/>
      <c r="D158" s="12"/>
      <c r="E158" s="12"/>
      <c r="F158" s="12"/>
      <c r="G158" s="13" t="str">
        <f t="shared" si="1"/>
        <v/>
      </c>
      <c r="H158" s="14">
        <v>3000000.0</v>
      </c>
      <c r="I158" s="16" t="str">
        <f t="shared" ref="I158:M158" si="154">IF(OR(B158="",B157=""),"",B158-B157)</f>
        <v/>
      </c>
      <c r="J158" s="16" t="str">
        <f t="shared" si="154"/>
        <v/>
      </c>
      <c r="K158" s="16" t="str">
        <f t="shared" si="154"/>
        <v/>
      </c>
      <c r="L158" s="16" t="str">
        <f t="shared" si="154"/>
        <v/>
      </c>
      <c r="M158" s="16" t="str">
        <f t="shared" si="154"/>
        <v/>
      </c>
    </row>
    <row r="159" ht="15.75" customHeight="1">
      <c r="A159" s="11">
        <v>46329.0</v>
      </c>
      <c r="B159" s="12"/>
      <c r="C159" s="12"/>
      <c r="D159" s="12"/>
      <c r="E159" s="12"/>
      <c r="F159" s="12"/>
      <c r="G159" s="13" t="str">
        <f t="shared" si="1"/>
        <v/>
      </c>
      <c r="H159" s="14">
        <v>3000000.0</v>
      </c>
      <c r="I159" s="16" t="str">
        <f t="shared" ref="I159:M159" si="155">IF(OR(B159="",B158=""),"",B159-B158)</f>
        <v/>
      </c>
      <c r="J159" s="16" t="str">
        <f t="shared" si="155"/>
        <v/>
      </c>
      <c r="K159" s="16" t="str">
        <f t="shared" si="155"/>
        <v/>
      </c>
      <c r="L159" s="16" t="str">
        <f t="shared" si="155"/>
        <v/>
      </c>
      <c r="M159" s="16" t="str">
        <f t="shared" si="155"/>
        <v/>
      </c>
    </row>
    <row r="160" ht="15.75" customHeight="1">
      <c r="A160" s="11">
        <v>46330.0</v>
      </c>
      <c r="B160" s="12"/>
      <c r="C160" s="12"/>
      <c r="D160" s="12"/>
      <c r="E160" s="12"/>
      <c r="F160" s="12"/>
      <c r="G160" s="13" t="str">
        <f t="shared" si="1"/>
        <v/>
      </c>
      <c r="H160" s="14">
        <v>3000000.0</v>
      </c>
      <c r="I160" s="16" t="str">
        <f t="shared" ref="I160:M160" si="156">IF(OR(B160="",B159=""),"",B160-B159)</f>
        <v/>
      </c>
      <c r="J160" s="16" t="str">
        <f t="shared" si="156"/>
        <v/>
      </c>
      <c r="K160" s="16" t="str">
        <f t="shared" si="156"/>
        <v/>
      </c>
      <c r="L160" s="16" t="str">
        <f t="shared" si="156"/>
        <v/>
      </c>
      <c r="M160" s="16" t="str">
        <f t="shared" si="156"/>
        <v/>
      </c>
    </row>
    <row r="161" ht="15.75" customHeight="1">
      <c r="A161" s="11">
        <v>46331.0</v>
      </c>
      <c r="B161" s="12"/>
      <c r="C161" s="12"/>
      <c r="D161" s="12"/>
      <c r="E161" s="12"/>
      <c r="F161" s="12"/>
      <c r="G161" s="13" t="str">
        <f t="shared" si="1"/>
        <v/>
      </c>
      <c r="H161" s="14">
        <v>3000000.0</v>
      </c>
      <c r="I161" s="16" t="str">
        <f t="shared" ref="I161:M161" si="157">IF(OR(B161="",B160=""),"",B161-B160)</f>
        <v/>
      </c>
      <c r="J161" s="16" t="str">
        <f t="shared" si="157"/>
        <v/>
      </c>
      <c r="K161" s="16" t="str">
        <f t="shared" si="157"/>
        <v/>
      </c>
      <c r="L161" s="16" t="str">
        <f t="shared" si="157"/>
        <v/>
      </c>
      <c r="M161" s="16" t="str">
        <f t="shared" si="157"/>
        <v/>
      </c>
    </row>
    <row r="162" ht="15.75" customHeight="1">
      <c r="A162" s="11">
        <v>46332.0</v>
      </c>
      <c r="B162" s="12"/>
      <c r="C162" s="12"/>
      <c r="D162" s="12"/>
      <c r="E162" s="12"/>
      <c r="F162" s="12"/>
      <c r="G162" s="13" t="str">
        <f t="shared" si="1"/>
        <v/>
      </c>
      <c r="H162" s="14">
        <v>3000000.0</v>
      </c>
      <c r="I162" s="16" t="str">
        <f t="shared" ref="I162:M162" si="158">IF(OR(B162="",B161=""),"",B162-B161)</f>
        <v/>
      </c>
      <c r="J162" s="16" t="str">
        <f t="shared" si="158"/>
        <v/>
      </c>
      <c r="K162" s="16" t="str">
        <f t="shared" si="158"/>
        <v/>
      </c>
      <c r="L162" s="16" t="str">
        <f t="shared" si="158"/>
        <v/>
      </c>
      <c r="M162" s="16" t="str">
        <f t="shared" si="158"/>
        <v/>
      </c>
    </row>
    <row r="163" ht="15.75" customHeight="1">
      <c r="A163" s="11">
        <v>46333.0</v>
      </c>
      <c r="B163" s="12"/>
      <c r="C163" s="12"/>
      <c r="D163" s="12"/>
      <c r="E163" s="12"/>
      <c r="F163" s="12"/>
      <c r="G163" s="13" t="str">
        <f t="shared" si="1"/>
        <v/>
      </c>
      <c r="H163" s="14">
        <v>3000000.0</v>
      </c>
      <c r="I163" s="16" t="str">
        <f t="shared" ref="I163:M163" si="159">IF(OR(B163="",B162=""),"",B163-B162)</f>
        <v/>
      </c>
      <c r="J163" s="16" t="str">
        <f t="shared" si="159"/>
        <v/>
      </c>
      <c r="K163" s="16" t="str">
        <f t="shared" si="159"/>
        <v/>
      </c>
      <c r="L163" s="16" t="str">
        <f t="shared" si="159"/>
        <v/>
      </c>
      <c r="M163" s="16" t="str">
        <f t="shared" si="159"/>
        <v/>
      </c>
    </row>
    <row r="164" ht="15.75" customHeight="1">
      <c r="A164" s="11">
        <v>46334.0</v>
      </c>
      <c r="B164" s="12"/>
      <c r="C164" s="12"/>
      <c r="D164" s="12"/>
      <c r="E164" s="12"/>
      <c r="F164" s="12"/>
      <c r="G164" s="13" t="str">
        <f t="shared" si="1"/>
        <v/>
      </c>
      <c r="H164" s="14">
        <v>3000000.0</v>
      </c>
      <c r="I164" s="16" t="str">
        <f t="shared" ref="I164:M164" si="160">IF(OR(B164="",B163=""),"",B164-B163)</f>
        <v/>
      </c>
      <c r="J164" s="16" t="str">
        <f t="shared" si="160"/>
        <v/>
      </c>
      <c r="K164" s="16" t="str">
        <f t="shared" si="160"/>
        <v/>
      </c>
      <c r="L164" s="16" t="str">
        <f t="shared" si="160"/>
        <v/>
      </c>
      <c r="M164" s="16" t="str">
        <f t="shared" si="160"/>
        <v/>
      </c>
    </row>
    <row r="165" ht="15.75" customHeight="1">
      <c r="A165" s="11">
        <v>46335.0</v>
      </c>
      <c r="B165" s="12"/>
      <c r="C165" s="12"/>
      <c r="D165" s="12"/>
      <c r="E165" s="12"/>
      <c r="F165" s="12"/>
      <c r="G165" s="13" t="str">
        <f t="shared" si="1"/>
        <v/>
      </c>
      <c r="H165" s="14">
        <v>3000000.0</v>
      </c>
      <c r="I165" s="16" t="str">
        <f t="shared" ref="I165:M165" si="161">IF(OR(B165="",B164=""),"",B165-B164)</f>
        <v/>
      </c>
      <c r="J165" s="16" t="str">
        <f t="shared" si="161"/>
        <v/>
      </c>
      <c r="K165" s="16" t="str">
        <f t="shared" si="161"/>
        <v/>
      </c>
      <c r="L165" s="16" t="str">
        <f t="shared" si="161"/>
        <v/>
      </c>
      <c r="M165" s="16" t="str">
        <f t="shared" si="161"/>
        <v/>
      </c>
    </row>
    <row r="166" ht="15.75" customHeight="1">
      <c r="A166" s="11">
        <v>46336.0</v>
      </c>
      <c r="B166" s="12"/>
      <c r="C166" s="12"/>
      <c r="D166" s="12"/>
      <c r="E166" s="12"/>
      <c r="F166" s="12"/>
      <c r="G166" s="13" t="str">
        <f t="shared" si="1"/>
        <v/>
      </c>
      <c r="H166" s="14">
        <v>3000000.0</v>
      </c>
      <c r="I166" s="16" t="str">
        <f t="shared" ref="I166:M166" si="162">IF(OR(B166="",B165=""),"",B166-B165)</f>
        <v/>
      </c>
      <c r="J166" s="16" t="str">
        <f t="shared" si="162"/>
        <v/>
      </c>
      <c r="K166" s="16" t="str">
        <f t="shared" si="162"/>
        <v/>
      </c>
      <c r="L166" s="16" t="str">
        <f t="shared" si="162"/>
        <v/>
      </c>
      <c r="M166" s="16" t="str">
        <f t="shared" si="162"/>
        <v/>
      </c>
    </row>
    <row r="167" ht="15.75" customHeight="1">
      <c r="A167" s="11">
        <v>46337.0</v>
      </c>
      <c r="B167" s="12"/>
      <c r="C167" s="12"/>
      <c r="D167" s="12"/>
      <c r="E167" s="12"/>
      <c r="F167" s="12"/>
      <c r="G167" s="13" t="str">
        <f t="shared" si="1"/>
        <v/>
      </c>
      <c r="H167" s="14">
        <v>3000000.0</v>
      </c>
      <c r="I167" s="16" t="str">
        <f t="shared" ref="I167:M167" si="163">IF(OR(B167="",B166=""),"",B167-B166)</f>
        <v/>
      </c>
      <c r="J167" s="16" t="str">
        <f t="shared" si="163"/>
        <v/>
      </c>
      <c r="K167" s="16" t="str">
        <f t="shared" si="163"/>
        <v/>
      </c>
      <c r="L167" s="16" t="str">
        <f t="shared" si="163"/>
        <v/>
      </c>
      <c r="M167" s="16" t="str">
        <f t="shared" si="163"/>
        <v/>
      </c>
    </row>
    <row r="168" ht="15.75" customHeight="1">
      <c r="A168" s="11">
        <v>46338.0</v>
      </c>
      <c r="B168" s="12"/>
      <c r="C168" s="12"/>
      <c r="D168" s="12"/>
      <c r="E168" s="12"/>
      <c r="F168" s="12"/>
      <c r="G168" s="13" t="str">
        <f t="shared" si="1"/>
        <v/>
      </c>
      <c r="H168" s="14">
        <v>3000000.0</v>
      </c>
      <c r="I168" s="16" t="str">
        <f t="shared" ref="I168:M168" si="164">IF(OR(B168="",B167=""),"",B168-B167)</f>
        <v/>
      </c>
      <c r="J168" s="16" t="str">
        <f t="shared" si="164"/>
        <v/>
      </c>
      <c r="K168" s="16" t="str">
        <f t="shared" si="164"/>
        <v/>
      </c>
      <c r="L168" s="16" t="str">
        <f t="shared" si="164"/>
        <v/>
      </c>
      <c r="M168" s="16" t="str">
        <f t="shared" si="164"/>
        <v/>
      </c>
    </row>
    <row r="169" ht="15.75" customHeight="1">
      <c r="A169" s="11">
        <v>46339.0</v>
      </c>
      <c r="B169" s="12"/>
      <c r="C169" s="12"/>
      <c r="D169" s="12"/>
      <c r="E169" s="12"/>
      <c r="F169" s="12"/>
      <c r="G169" s="13" t="str">
        <f t="shared" si="1"/>
        <v/>
      </c>
      <c r="H169" s="14">
        <v>3000000.0</v>
      </c>
      <c r="I169" s="16" t="str">
        <f t="shared" ref="I169:M169" si="165">IF(OR(B169="",B168=""),"",B169-B168)</f>
        <v/>
      </c>
      <c r="J169" s="16" t="str">
        <f t="shared" si="165"/>
        <v/>
      </c>
      <c r="K169" s="16" t="str">
        <f t="shared" si="165"/>
        <v/>
      </c>
      <c r="L169" s="16" t="str">
        <f t="shared" si="165"/>
        <v/>
      </c>
      <c r="M169" s="16" t="str">
        <f t="shared" si="165"/>
        <v/>
      </c>
    </row>
    <row r="170" ht="15.75" customHeight="1">
      <c r="A170" s="11">
        <v>46340.0</v>
      </c>
      <c r="B170" s="12"/>
      <c r="C170" s="12"/>
      <c r="D170" s="12"/>
      <c r="E170" s="12"/>
      <c r="F170" s="12"/>
      <c r="G170" s="13" t="str">
        <f t="shared" si="1"/>
        <v/>
      </c>
      <c r="H170" s="14">
        <v>3000000.0</v>
      </c>
      <c r="I170" s="16" t="str">
        <f t="shared" ref="I170:M170" si="166">IF(OR(B170="",B169=""),"",B170-B169)</f>
        <v/>
      </c>
      <c r="J170" s="16" t="str">
        <f t="shared" si="166"/>
        <v/>
      </c>
      <c r="K170" s="16" t="str">
        <f t="shared" si="166"/>
        <v/>
      </c>
      <c r="L170" s="16" t="str">
        <f t="shared" si="166"/>
        <v/>
      </c>
      <c r="M170" s="16" t="str">
        <f t="shared" si="166"/>
        <v/>
      </c>
    </row>
    <row r="171" ht="15.75" customHeight="1">
      <c r="A171" s="11">
        <v>46341.0</v>
      </c>
      <c r="B171" s="12"/>
      <c r="C171" s="12"/>
      <c r="D171" s="12"/>
      <c r="E171" s="12"/>
      <c r="F171" s="12"/>
      <c r="G171" s="13" t="str">
        <f t="shared" si="1"/>
        <v/>
      </c>
      <c r="H171" s="14">
        <v>3000000.0</v>
      </c>
      <c r="I171" s="16" t="str">
        <f t="shared" ref="I171:M171" si="167">IF(OR(B171="",B170=""),"",B171-B170)</f>
        <v/>
      </c>
      <c r="J171" s="16" t="str">
        <f t="shared" si="167"/>
        <v/>
      </c>
      <c r="K171" s="16" t="str">
        <f t="shared" si="167"/>
        <v/>
      </c>
      <c r="L171" s="16" t="str">
        <f t="shared" si="167"/>
        <v/>
      </c>
      <c r="M171" s="16" t="str">
        <f t="shared" si="167"/>
        <v/>
      </c>
    </row>
    <row r="172" ht="15.75" customHeight="1">
      <c r="A172" s="11">
        <v>46342.0</v>
      </c>
      <c r="B172" s="12"/>
      <c r="C172" s="12"/>
      <c r="D172" s="12"/>
      <c r="E172" s="12"/>
      <c r="F172" s="12"/>
      <c r="G172" s="13" t="str">
        <f t="shared" si="1"/>
        <v/>
      </c>
      <c r="H172" s="14">
        <v>3000000.0</v>
      </c>
      <c r="I172" s="16" t="str">
        <f t="shared" ref="I172:M172" si="168">IF(OR(B172="",B171=""),"",B172-B171)</f>
        <v/>
      </c>
      <c r="J172" s="16" t="str">
        <f t="shared" si="168"/>
        <v/>
      </c>
      <c r="K172" s="16" t="str">
        <f t="shared" si="168"/>
        <v/>
      </c>
      <c r="L172" s="16" t="str">
        <f t="shared" si="168"/>
        <v/>
      </c>
      <c r="M172" s="16" t="str">
        <f t="shared" si="168"/>
        <v/>
      </c>
    </row>
    <row r="173" ht="15.75" customHeight="1">
      <c r="A173" s="11">
        <v>46343.0</v>
      </c>
      <c r="B173" s="12"/>
      <c r="C173" s="12"/>
      <c r="D173" s="12"/>
      <c r="E173" s="12"/>
      <c r="F173" s="12"/>
      <c r="G173" s="13" t="str">
        <f t="shared" si="1"/>
        <v/>
      </c>
      <c r="H173" s="14">
        <v>3000000.0</v>
      </c>
      <c r="I173" s="16" t="str">
        <f t="shared" ref="I173:M173" si="169">IF(OR(B173="",B172=""),"",B173-B172)</f>
        <v/>
      </c>
      <c r="J173" s="16" t="str">
        <f t="shared" si="169"/>
        <v/>
      </c>
      <c r="K173" s="16" t="str">
        <f t="shared" si="169"/>
        <v/>
      </c>
      <c r="L173" s="16" t="str">
        <f t="shared" si="169"/>
        <v/>
      </c>
      <c r="M173" s="16" t="str">
        <f t="shared" si="169"/>
        <v/>
      </c>
    </row>
    <row r="174" ht="15.75" customHeight="1">
      <c r="A174" s="11">
        <v>46344.0</v>
      </c>
      <c r="B174" s="12"/>
      <c r="C174" s="12"/>
      <c r="D174" s="12"/>
      <c r="E174" s="12"/>
      <c r="F174" s="12"/>
      <c r="G174" s="13" t="str">
        <f t="shared" si="1"/>
        <v/>
      </c>
      <c r="H174" s="14">
        <v>3000000.0</v>
      </c>
      <c r="I174" s="16" t="str">
        <f t="shared" ref="I174:M174" si="170">IF(OR(B174="",B173=""),"",B174-B173)</f>
        <v/>
      </c>
      <c r="J174" s="16" t="str">
        <f t="shared" si="170"/>
        <v/>
      </c>
      <c r="K174" s="16" t="str">
        <f t="shared" si="170"/>
        <v/>
      </c>
      <c r="L174" s="16" t="str">
        <f t="shared" si="170"/>
        <v/>
      </c>
      <c r="M174" s="16" t="str">
        <f t="shared" si="170"/>
        <v/>
      </c>
    </row>
    <row r="175" ht="15.75" customHeight="1">
      <c r="A175" s="11">
        <v>46345.0</v>
      </c>
      <c r="B175" s="12"/>
      <c r="C175" s="12"/>
      <c r="D175" s="12"/>
      <c r="E175" s="12"/>
      <c r="F175" s="12"/>
      <c r="G175" s="13" t="str">
        <f t="shared" si="1"/>
        <v/>
      </c>
      <c r="H175" s="14">
        <v>3000000.0</v>
      </c>
      <c r="I175" s="16" t="str">
        <f t="shared" ref="I175:M175" si="171">IF(OR(B175="",B174=""),"",B175-B174)</f>
        <v/>
      </c>
      <c r="J175" s="16" t="str">
        <f t="shared" si="171"/>
        <v/>
      </c>
      <c r="K175" s="16" t="str">
        <f t="shared" si="171"/>
        <v/>
      </c>
      <c r="L175" s="16" t="str">
        <f t="shared" si="171"/>
        <v/>
      </c>
      <c r="M175" s="16" t="str">
        <f t="shared" si="171"/>
        <v/>
      </c>
    </row>
    <row r="176" ht="15.75" customHeight="1">
      <c r="A176" s="11">
        <v>46346.0</v>
      </c>
      <c r="B176" s="12"/>
      <c r="C176" s="12"/>
      <c r="D176" s="12"/>
      <c r="E176" s="12"/>
      <c r="F176" s="12"/>
      <c r="G176" s="13" t="str">
        <f t="shared" si="1"/>
        <v/>
      </c>
      <c r="H176" s="14">
        <v>3000000.0</v>
      </c>
      <c r="I176" s="16" t="str">
        <f t="shared" ref="I176:M176" si="172">IF(OR(B176="",B175=""),"",B176-B175)</f>
        <v/>
      </c>
      <c r="J176" s="16" t="str">
        <f t="shared" si="172"/>
        <v/>
      </c>
      <c r="K176" s="16" t="str">
        <f t="shared" si="172"/>
        <v/>
      </c>
      <c r="L176" s="16" t="str">
        <f t="shared" si="172"/>
        <v/>
      </c>
      <c r="M176" s="16" t="str">
        <f t="shared" si="172"/>
        <v/>
      </c>
    </row>
    <row r="177" ht="15.75" customHeight="1">
      <c r="A177" s="11">
        <v>46347.0</v>
      </c>
      <c r="B177" s="12"/>
      <c r="C177" s="12"/>
      <c r="D177" s="12"/>
      <c r="E177" s="12"/>
      <c r="F177" s="12"/>
      <c r="G177" s="13" t="str">
        <f t="shared" si="1"/>
        <v/>
      </c>
      <c r="H177" s="14">
        <v>3000000.0</v>
      </c>
      <c r="I177" s="16" t="str">
        <f t="shared" ref="I177:M177" si="173">IF(OR(B177="",B176=""),"",B177-B176)</f>
        <v/>
      </c>
      <c r="J177" s="16" t="str">
        <f t="shared" si="173"/>
        <v/>
      </c>
      <c r="K177" s="16" t="str">
        <f t="shared" si="173"/>
        <v/>
      </c>
      <c r="L177" s="16" t="str">
        <f t="shared" si="173"/>
        <v/>
      </c>
      <c r="M177" s="16" t="str">
        <f t="shared" si="173"/>
        <v/>
      </c>
    </row>
    <row r="178" ht="15.75" customHeight="1">
      <c r="A178" s="11">
        <v>46348.0</v>
      </c>
      <c r="B178" s="12"/>
      <c r="C178" s="12"/>
      <c r="D178" s="12"/>
      <c r="E178" s="12"/>
      <c r="F178" s="12"/>
      <c r="G178" s="13" t="str">
        <f t="shared" si="1"/>
        <v/>
      </c>
      <c r="H178" s="14">
        <v>3000000.0</v>
      </c>
      <c r="I178" s="16" t="str">
        <f t="shared" ref="I178:M178" si="174">IF(OR(B178="",B177=""),"",B178-B177)</f>
        <v/>
      </c>
      <c r="J178" s="16" t="str">
        <f t="shared" si="174"/>
        <v/>
      </c>
      <c r="K178" s="16" t="str">
        <f t="shared" si="174"/>
        <v/>
      </c>
      <c r="L178" s="16" t="str">
        <f t="shared" si="174"/>
        <v/>
      </c>
      <c r="M178" s="16" t="str">
        <f t="shared" si="174"/>
        <v/>
      </c>
    </row>
    <row r="179" ht="15.75" customHeight="1">
      <c r="A179" s="11">
        <v>46349.0</v>
      </c>
      <c r="B179" s="12"/>
      <c r="C179" s="12"/>
      <c r="D179" s="12"/>
      <c r="E179" s="12"/>
      <c r="F179" s="12"/>
      <c r="G179" s="13" t="str">
        <f t="shared" si="1"/>
        <v/>
      </c>
      <c r="H179" s="14">
        <v>3000000.0</v>
      </c>
      <c r="I179" s="16" t="str">
        <f t="shared" ref="I179:M179" si="175">IF(OR(B179="",B178=""),"",B179-B178)</f>
        <v/>
      </c>
      <c r="J179" s="16" t="str">
        <f t="shared" si="175"/>
        <v/>
      </c>
      <c r="K179" s="16" t="str">
        <f t="shared" si="175"/>
        <v/>
      </c>
      <c r="L179" s="16" t="str">
        <f t="shared" si="175"/>
        <v/>
      </c>
      <c r="M179" s="16" t="str">
        <f t="shared" si="175"/>
        <v/>
      </c>
    </row>
    <row r="180" ht="15.75" customHeight="1">
      <c r="A180" s="11">
        <v>46350.0</v>
      </c>
      <c r="B180" s="12"/>
      <c r="C180" s="12"/>
      <c r="D180" s="12"/>
      <c r="E180" s="12"/>
      <c r="F180" s="12"/>
      <c r="G180" s="13" t="str">
        <f t="shared" si="1"/>
        <v/>
      </c>
      <c r="H180" s="14">
        <v>3000000.0</v>
      </c>
      <c r="I180" s="16" t="str">
        <f t="shared" ref="I180:M180" si="176">IF(OR(B180="",B179=""),"",B180-B179)</f>
        <v/>
      </c>
      <c r="J180" s="16" t="str">
        <f t="shared" si="176"/>
        <v/>
      </c>
      <c r="K180" s="16" t="str">
        <f t="shared" si="176"/>
        <v/>
      </c>
      <c r="L180" s="16" t="str">
        <f t="shared" si="176"/>
        <v/>
      </c>
      <c r="M180" s="16" t="str">
        <f t="shared" si="176"/>
        <v/>
      </c>
    </row>
    <row r="181" ht="15.75" customHeight="1">
      <c r="A181" s="11">
        <v>46351.0</v>
      </c>
      <c r="B181" s="12"/>
      <c r="C181" s="12"/>
      <c r="D181" s="12"/>
      <c r="E181" s="12"/>
      <c r="F181" s="12"/>
      <c r="G181" s="13" t="str">
        <f t="shared" si="1"/>
        <v/>
      </c>
      <c r="H181" s="14">
        <v>3000000.0</v>
      </c>
      <c r="I181" s="16" t="str">
        <f t="shared" ref="I181:M181" si="177">IF(OR(B181="",B180=""),"",B181-B180)</f>
        <v/>
      </c>
      <c r="J181" s="16" t="str">
        <f t="shared" si="177"/>
        <v/>
      </c>
      <c r="K181" s="16" t="str">
        <f t="shared" si="177"/>
        <v/>
      </c>
      <c r="L181" s="16" t="str">
        <f t="shared" si="177"/>
        <v/>
      </c>
      <c r="M181" s="16" t="str">
        <f t="shared" si="177"/>
        <v/>
      </c>
    </row>
    <row r="182" ht="15.75" customHeight="1">
      <c r="A182" s="11">
        <v>46352.0</v>
      </c>
      <c r="B182" s="12"/>
      <c r="C182" s="12"/>
      <c r="D182" s="12"/>
      <c r="E182" s="12"/>
      <c r="F182" s="12"/>
      <c r="G182" s="13" t="str">
        <f t="shared" si="1"/>
        <v/>
      </c>
      <c r="H182" s="14">
        <v>3000000.0</v>
      </c>
      <c r="I182" s="16" t="str">
        <f t="shared" ref="I182:M182" si="178">IF(OR(B182="",B181=""),"",B182-B181)</f>
        <v/>
      </c>
      <c r="J182" s="16" t="str">
        <f t="shared" si="178"/>
        <v/>
      </c>
      <c r="K182" s="16" t="str">
        <f t="shared" si="178"/>
        <v/>
      </c>
      <c r="L182" s="16" t="str">
        <f t="shared" si="178"/>
        <v/>
      </c>
      <c r="M182" s="16" t="str">
        <f t="shared" si="178"/>
        <v/>
      </c>
    </row>
    <row r="183" ht="15.75" customHeight="1">
      <c r="A183" s="11">
        <v>46353.0</v>
      </c>
      <c r="B183" s="12"/>
      <c r="C183" s="12"/>
      <c r="D183" s="12"/>
      <c r="E183" s="12"/>
      <c r="F183" s="12"/>
      <c r="G183" s="13" t="str">
        <f t="shared" si="1"/>
        <v/>
      </c>
      <c r="H183" s="14">
        <v>3000000.0</v>
      </c>
      <c r="I183" s="16" t="str">
        <f t="shared" ref="I183:M183" si="179">IF(OR(B183="",B182=""),"",B183-B182)</f>
        <v/>
      </c>
      <c r="J183" s="16" t="str">
        <f t="shared" si="179"/>
        <v/>
      </c>
      <c r="K183" s="16" t="str">
        <f t="shared" si="179"/>
        <v/>
      </c>
      <c r="L183" s="16" t="str">
        <f t="shared" si="179"/>
        <v/>
      </c>
      <c r="M183" s="16" t="str">
        <f t="shared" si="179"/>
        <v/>
      </c>
    </row>
    <row r="184" ht="15.75" customHeight="1">
      <c r="A184" s="11">
        <v>46354.0</v>
      </c>
      <c r="B184" s="12"/>
      <c r="C184" s="12"/>
      <c r="D184" s="12"/>
      <c r="E184" s="12"/>
      <c r="F184" s="12"/>
      <c r="G184" s="13" t="str">
        <f t="shared" si="1"/>
        <v/>
      </c>
      <c r="H184" s="14">
        <v>3000000.0</v>
      </c>
      <c r="I184" s="16" t="str">
        <f t="shared" ref="I184:M184" si="180">IF(OR(B184="",B183=""),"",B184-B183)</f>
        <v/>
      </c>
      <c r="J184" s="16" t="str">
        <f t="shared" si="180"/>
        <v/>
      </c>
      <c r="K184" s="16" t="str">
        <f t="shared" si="180"/>
        <v/>
      </c>
      <c r="L184" s="16" t="str">
        <f t="shared" si="180"/>
        <v/>
      </c>
      <c r="M184" s="16" t="str">
        <f t="shared" si="180"/>
        <v/>
      </c>
    </row>
    <row r="185" ht="15.75" customHeight="1">
      <c r="A185" s="11">
        <v>46355.0</v>
      </c>
      <c r="B185" s="12"/>
      <c r="C185" s="12"/>
      <c r="D185" s="12"/>
      <c r="E185" s="12"/>
      <c r="F185" s="12"/>
      <c r="G185" s="13" t="str">
        <f t="shared" si="1"/>
        <v/>
      </c>
      <c r="H185" s="14">
        <v>3000000.0</v>
      </c>
      <c r="I185" s="16" t="str">
        <f t="shared" ref="I185:M185" si="181">IF(OR(B185="",B184=""),"",B185-B184)</f>
        <v/>
      </c>
      <c r="J185" s="16" t="str">
        <f t="shared" si="181"/>
        <v/>
      </c>
      <c r="K185" s="16" t="str">
        <f t="shared" si="181"/>
        <v/>
      </c>
      <c r="L185" s="16" t="str">
        <f t="shared" si="181"/>
        <v/>
      </c>
      <c r="M185" s="16" t="str">
        <f t="shared" si="181"/>
        <v/>
      </c>
    </row>
    <row r="186" ht="15.75" customHeight="1">
      <c r="A186" s="11">
        <v>46356.0</v>
      </c>
      <c r="B186" s="12"/>
      <c r="C186" s="12"/>
      <c r="D186" s="12"/>
      <c r="E186" s="12"/>
      <c r="F186" s="12"/>
      <c r="G186" s="13" t="str">
        <f t="shared" si="1"/>
        <v/>
      </c>
      <c r="H186" s="14">
        <v>3000000.0</v>
      </c>
      <c r="I186" s="16" t="str">
        <f t="shared" ref="I186:M186" si="182">IF(OR(B186="",B185=""),"",B186-B185)</f>
        <v/>
      </c>
      <c r="J186" s="16" t="str">
        <f t="shared" si="182"/>
        <v/>
      </c>
      <c r="K186" s="16" t="str">
        <f t="shared" si="182"/>
        <v/>
      </c>
      <c r="L186" s="16" t="str">
        <f t="shared" si="182"/>
        <v/>
      </c>
      <c r="M186" s="16" t="str">
        <f t="shared" si="182"/>
        <v/>
      </c>
    </row>
    <row r="187" ht="15.75" customHeight="1">
      <c r="A187" s="11">
        <v>46357.0</v>
      </c>
      <c r="B187" s="12"/>
      <c r="C187" s="12"/>
      <c r="D187" s="12"/>
      <c r="E187" s="12"/>
      <c r="F187" s="12"/>
      <c r="G187" s="13" t="str">
        <f t="shared" si="1"/>
        <v/>
      </c>
      <c r="H187" s="14">
        <v>3000000.0</v>
      </c>
      <c r="I187" s="16" t="str">
        <f t="shared" ref="I187:M187" si="183">IF(OR(B187="",B186=""),"",B187-B186)</f>
        <v/>
      </c>
      <c r="J187" s="16" t="str">
        <f t="shared" si="183"/>
        <v/>
      </c>
      <c r="K187" s="16" t="str">
        <f t="shared" si="183"/>
        <v/>
      </c>
      <c r="L187" s="16" t="str">
        <f t="shared" si="183"/>
        <v/>
      </c>
      <c r="M187" s="16" t="str">
        <f t="shared" si="183"/>
        <v/>
      </c>
    </row>
    <row r="188" ht="15.75" customHeight="1">
      <c r="A188" s="11">
        <v>46358.0</v>
      </c>
      <c r="B188" s="12"/>
      <c r="C188" s="12"/>
      <c r="D188" s="12"/>
      <c r="E188" s="12"/>
      <c r="F188" s="12"/>
      <c r="G188" s="13" t="str">
        <f t="shared" si="1"/>
        <v/>
      </c>
      <c r="H188" s="14">
        <v>3000000.0</v>
      </c>
      <c r="I188" s="16" t="str">
        <f t="shared" ref="I188:M188" si="184">IF(OR(B188="",B187=""),"",B188-B187)</f>
        <v/>
      </c>
      <c r="J188" s="16" t="str">
        <f t="shared" si="184"/>
        <v/>
      </c>
      <c r="K188" s="16" t="str">
        <f t="shared" si="184"/>
        <v/>
      </c>
      <c r="L188" s="16" t="str">
        <f t="shared" si="184"/>
        <v/>
      </c>
      <c r="M188" s="16" t="str">
        <f t="shared" si="184"/>
        <v/>
      </c>
    </row>
    <row r="189" ht="15.75" customHeight="1">
      <c r="A189" s="11">
        <v>46359.0</v>
      </c>
      <c r="B189" s="12"/>
      <c r="C189" s="12"/>
      <c r="D189" s="12"/>
      <c r="E189" s="12"/>
      <c r="F189" s="12"/>
      <c r="G189" s="13" t="str">
        <f t="shared" si="1"/>
        <v/>
      </c>
      <c r="H189" s="14">
        <v>3000000.0</v>
      </c>
      <c r="I189" s="16" t="str">
        <f t="shared" ref="I189:M189" si="185">IF(OR(B189="",B188=""),"",B189-B188)</f>
        <v/>
      </c>
      <c r="J189" s="16" t="str">
        <f t="shared" si="185"/>
        <v/>
      </c>
      <c r="K189" s="16" t="str">
        <f t="shared" si="185"/>
        <v/>
      </c>
      <c r="L189" s="16" t="str">
        <f t="shared" si="185"/>
        <v/>
      </c>
      <c r="M189" s="16" t="str">
        <f t="shared" si="185"/>
        <v/>
      </c>
    </row>
    <row r="190" ht="15.75" customHeight="1">
      <c r="A190" s="11">
        <v>46360.0</v>
      </c>
      <c r="B190" s="12"/>
      <c r="C190" s="12"/>
      <c r="D190" s="12"/>
      <c r="E190" s="12"/>
      <c r="F190" s="12"/>
      <c r="G190" s="13" t="str">
        <f t="shared" si="1"/>
        <v/>
      </c>
      <c r="H190" s="14">
        <v>3000000.0</v>
      </c>
      <c r="I190" s="16" t="str">
        <f t="shared" ref="I190:M190" si="186">IF(OR(B190="",B189=""),"",B190-B189)</f>
        <v/>
      </c>
      <c r="J190" s="16" t="str">
        <f t="shared" si="186"/>
        <v/>
      </c>
      <c r="K190" s="16" t="str">
        <f t="shared" si="186"/>
        <v/>
      </c>
      <c r="L190" s="16" t="str">
        <f t="shared" si="186"/>
        <v/>
      </c>
      <c r="M190" s="16" t="str">
        <f t="shared" si="186"/>
        <v/>
      </c>
    </row>
    <row r="191" ht="15.75" customHeight="1">
      <c r="A191" s="11">
        <v>46361.0</v>
      </c>
      <c r="B191" s="12"/>
      <c r="C191" s="12"/>
      <c r="D191" s="12"/>
      <c r="E191" s="12"/>
      <c r="F191" s="12"/>
      <c r="G191" s="13" t="str">
        <f t="shared" si="1"/>
        <v/>
      </c>
      <c r="H191" s="14">
        <v>3000000.0</v>
      </c>
      <c r="I191" s="16" t="str">
        <f t="shared" ref="I191:M191" si="187">IF(OR(B191="",B190=""),"",B191-B190)</f>
        <v/>
      </c>
      <c r="J191" s="16" t="str">
        <f t="shared" si="187"/>
        <v/>
      </c>
      <c r="K191" s="16" t="str">
        <f t="shared" si="187"/>
        <v/>
      </c>
      <c r="L191" s="16" t="str">
        <f t="shared" si="187"/>
        <v/>
      </c>
      <c r="M191" s="16" t="str">
        <f t="shared" si="187"/>
        <v/>
      </c>
    </row>
    <row r="192" ht="15.75" customHeight="1">
      <c r="A192" s="11">
        <v>46362.0</v>
      </c>
      <c r="B192" s="12"/>
      <c r="C192" s="12"/>
      <c r="D192" s="12"/>
      <c r="E192" s="12"/>
      <c r="F192" s="12"/>
      <c r="G192" s="13" t="str">
        <f t="shared" si="1"/>
        <v/>
      </c>
      <c r="H192" s="14">
        <v>3000000.0</v>
      </c>
      <c r="I192" s="16" t="str">
        <f t="shared" ref="I192:M192" si="188">IF(OR(B192="",B191=""),"",B192-B191)</f>
        <v/>
      </c>
      <c r="J192" s="16" t="str">
        <f t="shared" si="188"/>
        <v/>
      </c>
      <c r="K192" s="16" t="str">
        <f t="shared" si="188"/>
        <v/>
      </c>
      <c r="L192" s="16" t="str">
        <f t="shared" si="188"/>
        <v/>
      </c>
      <c r="M192" s="16" t="str">
        <f t="shared" si="188"/>
        <v/>
      </c>
    </row>
    <row r="193" ht="15.75" customHeight="1">
      <c r="A193" s="11">
        <v>46363.0</v>
      </c>
      <c r="B193" s="12"/>
      <c r="C193" s="12"/>
      <c r="D193" s="12"/>
      <c r="E193" s="12"/>
      <c r="F193" s="12"/>
      <c r="G193" s="13" t="str">
        <f t="shared" si="1"/>
        <v/>
      </c>
      <c r="H193" s="14">
        <v>3000000.0</v>
      </c>
      <c r="I193" s="16" t="str">
        <f t="shared" ref="I193:M193" si="189">IF(OR(B193="",B192=""),"",B193-B192)</f>
        <v/>
      </c>
      <c r="J193" s="16" t="str">
        <f t="shared" si="189"/>
        <v/>
      </c>
      <c r="K193" s="16" t="str">
        <f t="shared" si="189"/>
        <v/>
      </c>
      <c r="L193" s="16" t="str">
        <f t="shared" si="189"/>
        <v/>
      </c>
      <c r="M193" s="16" t="str">
        <f t="shared" si="189"/>
        <v/>
      </c>
    </row>
    <row r="194" ht="15.75" customHeight="1">
      <c r="A194" s="11">
        <v>46364.0</v>
      </c>
      <c r="B194" s="12"/>
      <c r="C194" s="12"/>
      <c r="D194" s="12"/>
      <c r="E194" s="12"/>
      <c r="F194" s="12"/>
      <c r="G194" s="13" t="str">
        <f t="shared" si="1"/>
        <v/>
      </c>
      <c r="H194" s="14">
        <v>3000000.0</v>
      </c>
      <c r="I194" s="16" t="str">
        <f t="shared" ref="I194:M194" si="190">IF(OR(B194="",B193=""),"",B194-B193)</f>
        <v/>
      </c>
      <c r="J194" s="16" t="str">
        <f t="shared" si="190"/>
        <v/>
      </c>
      <c r="K194" s="16" t="str">
        <f t="shared" si="190"/>
        <v/>
      </c>
      <c r="L194" s="16" t="str">
        <f t="shared" si="190"/>
        <v/>
      </c>
      <c r="M194" s="16" t="str">
        <f t="shared" si="190"/>
        <v/>
      </c>
    </row>
    <row r="195" ht="15.75" customHeight="1">
      <c r="A195" s="11">
        <v>46365.0</v>
      </c>
      <c r="B195" s="12"/>
      <c r="C195" s="12"/>
      <c r="D195" s="12"/>
      <c r="E195" s="12"/>
      <c r="F195" s="12"/>
      <c r="G195" s="13" t="str">
        <f t="shared" si="1"/>
        <v/>
      </c>
      <c r="H195" s="14">
        <v>3000000.0</v>
      </c>
      <c r="I195" s="16" t="str">
        <f t="shared" ref="I195:M195" si="191">IF(OR(B195="",B194=""),"",B195-B194)</f>
        <v/>
      </c>
      <c r="J195" s="16" t="str">
        <f t="shared" si="191"/>
        <v/>
      </c>
      <c r="K195" s="16" t="str">
        <f t="shared" si="191"/>
        <v/>
      </c>
      <c r="L195" s="16" t="str">
        <f t="shared" si="191"/>
        <v/>
      </c>
      <c r="M195" s="16" t="str">
        <f t="shared" si="191"/>
        <v/>
      </c>
    </row>
    <row r="196" ht="15.75" customHeight="1">
      <c r="A196" s="11">
        <v>46366.0</v>
      </c>
      <c r="B196" s="12"/>
      <c r="C196" s="12"/>
      <c r="D196" s="12"/>
      <c r="E196" s="12"/>
      <c r="F196" s="12"/>
      <c r="G196" s="13" t="str">
        <f t="shared" si="1"/>
        <v/>
      </c>
      <c r="H196" s="14">
        <v>3000000.0</v>
      </c>
      <c r="I196" s="16" t="str">
        <f t="shared" ref="I196:M196" si="192">IF(OR(B196="",B195=""),"",B196-B195)</f>
        <v/>
      </c>
      <c r="J196" s="16" t="str">
        <f t="shared" si="192"/>
        <v/>
      </c>
      <c r="K196" s="16" t="str">
        <f t="shared" si="192"/>
        <v/>
      </c>
      <c r="L196" s="16" t="str">
        <f t="shared" si="192"/>
        <v/>
      </c>
      <c r="M196" s="16" t="str">
        <f t="shared" si="192"/>
        <v/>
      </c>
    </row>
    <row r="197" ht="15.75" customHeight="1">
      <c r="A197" s="11">
        <v>46367.0</v>
      </c>
      <c r="B197" s="12"/>
      <c r="C197" s="12"/>
      <c r="D197" s="12"/>
      <c r="E197" s="12"/>
      <c r="F197" s="12"/>
      <c r="G197" s="13" t="str">
        <f t="shared" si="1"/>
        <v/>
      </c>
      <c r="H197" s="14">
        <v>3000000.0</v>
      </c>
      <c r="I197" s="16" t="str">
        <f t="shared" ref="I197:M197" si="193">IF(OR(B197="",B196=""),"",B197-B196)</f>
        <v/>
      </c>
      <c r="J197" s="16" t="str">
        <f t="shared" si="193"/>
        <v/>
      </c>
      <c r="K197" s="16" t="str">
        <f t="shared" si="193"/>
        <v/>
      </c>
      <c r="L197" s="16" t="str">
        <f t="shared" si="193"/>
        <v/>
      </c>
      <c r="M197" s="16" t="str">
        <f t="shared" si="193"/>
        <v/>
      </c>
    </row>
    <row r="198" ht="15.75" customHeight="1">
      <c r="A198" s="11">
        <v>46368.0</v>
      </c>
      <c r="B198" s="12"/>
      <c r="C198" s="12"/>
      <c r="D198" s="12"/>
      <c r="E198" s="12"/>
      <c r="F198" s="12"/>
      <c r="G198" s="13" t="str">
        <f t="shared" si="1"/>
        <v/>
      </c>
      <c r="H198" s="14">
        <v>3000000.0</v>
      </c>
      <c r="I198" s="16" t="str">
        <f t="shared" ref="I198:M198" si="194">IF(OR(B198="",B197=""),"",B198-B197)</f>
        <v/>
      </c>
      <c r="J198" s="16" t="str">
        <f t="shared" si="194"/>
        <v/>
      </c>
      <c r="K198" s="16" t="str">
        <f t="shared" si="194"/>
        <v/>
      </c>
      <c r="L198" s="16" t="str">
        <f t="shared" si="194"/>
        <v/>
      </c>
      <c r="M198" s="16" t="str">
        <f t="shared" si="194"/>
        <v/>
      </c>
    </row>
    <row r="199" ht="15.75" customHeight="1">
      <c r="A199" s="11">
        <v>46369.0</v>
      </c>
      <c r="B199" s="12"/>
      <c r="C199" s="12"/>
      <c r="D199" s="12"/>
      <c r="E199" s="12"/>
      <c r="F199" s="12"/>
      <c r="G199" s="13" t="str">
        <f t="shared" si="1"/>
        <v/>
      </c>
      <c r="H199" s="14">
        <v>3000000.0</v>
      </c>
      <c r="I199" s="16" t="str">
        <f t="shared" ref="I199:M199" si="195">IF(OR(B199="",B198=""),"",B199-B198)</f>
        <v/>
      </c>
      <c r="J199" s="16" t="str">
        <f t="shared" si="195"/>
        <v/>
      </c>
      <c r="K199" s="16" t="str">
        <f t="shared" si="195"/>
        <v/>
      </c>
      <c r="L199" s="16" t="str">
        <f t="shared" si="195"/>
        <v/>
      </c>
      <c r="M199" s="16" t="str">
        <f t="shared" si="195"/>
        <v/>
      </c>
    </row>
    <row r="200" ht="15.75" customHeight="1">
      <c r="A200" s="11">
        <v>46370.0</v>
      </c>
      <c r="B200" s="12"/>
      <c r="C200" s="12"/>
      <c r="D200" s="12"/>
      <c r="E200" s="12"/>
      <c r="F200" s="12"/>
      <c r="G200" s="13" t="str">
        <f t="shared" si="1"/>
        <v/>
      </c>
      <c r="H200" s="14">
        <v>3000000.0</v>
      </c>
      <c r="I200" s="16" t="str">
        <f t="shared" ref="I200:M200" si="196">IF(OR(B200="",B199=""),"",B200-B199)</f>
        <v/>
      </c>
      <c r="J200" s="16" t="str">
        <f t="shared" si="196"/>
        <v/>
      </c>
      <c r="K200" s="16" t="str">
        <f t="shared" si="196"/>
        <v/>
      </c>
      <c r="L200" s="16" t="str">
        <f t="shared" si="196"/>
        <v/>
      </c>
      <c r="M200" s="16" t="str">
        <f t="shared" si="196"/>
        <v/>
      </c>
    </row>
    <row r="201" ht="15.75" customHeight="1">
      <c r="A201" s="11">
        <v>46371.0</v>
      </c>
      <c r="B201" s="12"/>
      <c r="C201" s="12"/>
      <c r="D201" s="12"/>
      <c r="E201" s="12"/>
      <c r="F201" s="12"/>
      <c r="G201" s="13" t="str">
        <f t="shared" si="1"/>
        <v/>
      </c>
      <c r="H201" s="14">
        <v>3000000.0</v>
      </c>
      <c r="I201" s="16" t="str">
        <f t="shared" ref="I201:M201" si="197">IF(OR(B201="",B200=""),"",B201-B200)</f>
        <v/>
      </c>
      <c r="J201" s="16" t="str">
        <f t="shared" si="197"/>
        <v/>
      </c>
      <c r="K201" s="16" t="str">
        <f t="shared" si="197"/>
        <v/>
      </c>
      <c r="L201" s="16" t="str">
        <f t="shared" si="197"/>
        <v/>
      </c>
      <c r="M201" s="16" t="str">
        <f t="shared" si="197"/>
        <v/>
      </c>
    </row>
    <row r="202" ht="15.75" customHeight="1">
      <c r="A202" s="11">
        <v>46372.0</v>
      </c>
      <c r="B202" s="12"/>
      <c r="C202" s="12"/>
      <c r="D202" s="12"/>
      <c r="E202" s="12"/>
      <c r="F202" s="12"/>
      <c r="G202" s="13" t="str">
        <f t="shared" si="1"/>
        <v/>
      </c>
      <c r="H202" s="14">
        <v>3000000.0</v>
      </c>
      <c r="I202" s="16" t="str">
        <f t="shared" ref="I202:M202" si="198">IF(OR(B202="",B201=""),"",B202-B201)</f>
        <v/>
      </c>
      <c r="J202" s="16" t="str">
        <f t="shared" si="198"/>
        <v/>
      </c>
      <c r="K202" s="16" t="str">
        <f t="shared" si="198"/>
        <v/>
      </c>
      <c r="L202" s="16" t="str">
        <f t="shared" si="198"/>
        <v/>
      </c>
      <c r="M202" s="16" t="str">
        <f t="shared" si="198"/>
        <v/>
      </c>
    </row>
    <row r="203" ht="15.75" customHeight="1">
      <c r="A203" s="11">
        <v>46373.0</v>
      </c>
      <c r="B203" s="12"/>
      <c r="C203" s="12"/>
      <c r="D203" s="12"/>
      <c r="E203" s="12"/>
      <c r="F203" s="12"/>
      <c r="G203" s="13" t="str">
        <f t="shared" si="1"/>
        <v/>
      </c>
      <c r="H203" s="14">
        <v>3000000.0</v>
      </c>
      <c r="I203" s="16" t="str">
        <f t="shared" ref="I203:M203" si="199">IF(OR(B203="",B202=""),"",B203-B202)</f>
        <v/>
      </c>
      <c r="J203" s="16" t="str">
        <f t="shared" si="199"/>
        <v/>
      </c>
      <c r="K203" s="16" t="str">
        <f t="shared" si="199"/>
        <v/>
      </c>
      <c r="L203" s="16" t="str">
        <f t="shared" si="199"/>
        <v/>
      </c>
      <c r="M203" s="16" t="str">
        <f t="shared" si="199"/>
        <v/>
      </c>
    </row>
    <row r="204" ht="15.75" customHeight="1">
      <c r="A204" s="11">
        <v>46374.0</v>
      </c>
      <c r="B204" s="12"/>
      <c r="C204" s="12"/>
      <c r="D204" s="12"/>
      <c r="E204" s="12"/>
      <c r="F204" s="12"/>
      <c r="G204" s="13" t="str">
        <f t="shared" si="1"/>
        <v/>
      </c>
      <c r="H204" s="14">
        <v>3000000.0</v>
      </c>
      <c r="I204" s="16" t="str">
        <f t="shared" ref="I204:M204" si="200">IF(OR(B204="",B203=""),"",B204-B203)</f>
        <v/>
      </c>
      <c r="J204" s="16" t="str">
        <f t="shared" si="200"/>
        <v/>
      </c>
      <c r="K204" s="16" t="str">
        <f t="shared" si="200"/>
        <v/>
      </c>
      <c r="L204" s="16" t="str">
        <f t="shared" si="200"/>
        <v/>
      </c>
      <c r="M204" s="16" t="str">
        <f t="shared" si="200"/>
        <v/>
      </c>
    </row>
    <row r="205" ht="15.75" customHeight="1">
      <c r="A205" s="11">
        <v>46375.0</v>
      </c>
      <c r="B205" s="12"/>
      <c r="C205" s="12"/>
      <c r="D205" s="12"/>
      <c r="E205" s="12"/>
      <c r="F205" s="12"/>
      <c r="G205" s="13" t="str">
        <f t="shared" si="1"/>
        <v/>
      </c>
      <c r="H205" s="14">
        <v>3000000.0</v>
      </c>
      <c r="I205" s="16" t="str">
        <f t="shared" ref="I205:M205" si="201">IF(OR(B205="",B204=""),"",B205-B204)</f>
        <v/>
      </c>
      <c r="J205" s="16" t="str">
        <f t="shared" si="201"/>
        <v/>
      </c>
      <c r="K205" s="16" t="str">
        <f t="shared" si="201"/>
        <v/>
      </c>
      <c r="L205" s="16" t="str">
        <f t="shared" si="201"/>
        <v/>
      </c>
      <c r="M205" s="16" t="str">
        <f t="shared" si="201"/>
        <v/>
      </c>
    </row>
    <row r="206" ht="15.75" customHeight="1">
      <c r="A206" s="11">
        <v>46376.0</v>
      </c>
      <c r="B206" s="12"/>
      <c r="C206" s="12"/>
      <c r="D206" s="12"/>
      <c r="E206" s="12"/>
      <c r="F206" s="12"/>
      <c r="G206" s="13" t="str">
        <f t="shared" si="1"/>
        <v/>
      </c>
      <c r="H206" s="14">
        <v>3000000.0</v>
      </c>
      <c r="I206" s="16" t="str">
        <f t="shared" ref="I206:M206" si="202">IF(OR(B206="",B205=""),"",B206-B205)</f>
        <v/>
      </c>
      <c r="J206" s="16" t="str">
        <f t="shared" si="202"/>
        <v/>
      </c>
      <c r="K206" s="16" t="str">
        <f t="shared" si="202"/>
        <v/>
      </c>
      <c r="L206" s="16" t="str">
        <f t="shared" si="202"/>
        <v/>
      </c>
      <c r="M206" s="16" t="str">
        <f t="shared" si="202"/>
        <v/>
      </c>
    </row>
    <row r="207" ht="15.75" customHeight="1">
      <c r="A207" s="11">
        <v>46377.0</v>
      </c>
      <c r="B207" s="12"/>
      <c r="C207" s="12"/>
      <c r="D207" s="12"/>
      <c r="E207" s="12"/>
      <c r="F207" s="12"/>
      <c r="G207" s="13" t="str">
        <f t="shared" si="1"/>
        <v/>
      </c>
      <c r="H207" s="14">
        <v>3000000.0</v>
      </c>
      <c r="I207" s="16" t="str">
        <f t="shared" ref="I207:M207" si="203">IF(OR(B207="",B206=""),"",B207-B206)</f>
        <v/>
      </c>
      <c r="J207" s="16" t="str">
        <f t="shared" si="203"/>
        <v/>
      </c>
      <c r="K207" s="16" t="str">
        <f t="shared" si="203"/>
        <v/>
      </c>
      <c r="L207" s="16" t="str">
        <f t="shared" si="203"/>
        <v/>
      </c>
      <c r="M207" s="16" t="str">
        <f t="shared" si="203"/>
        <v/>
      </c>
    </row>
    <row r="208" ht="15.75" customHeight="1">
      <c r="A208" s="11">
        <v>46378.0</v>
      </c>
      <c r="B208" s="12"/>
      <c r="C208" s="12"/>
      <c r="D208" s="12"/>
      <c r="E208" s="12"/>
      <c r="F208" s="12"/>
      <c r="G208" s="13" t="str">
        <f t="shared" si="1"/>
        <v/>
      </c>
      <c r="H208" s="14">
        <v>3000000.0</v>
      </c>
      <c r="I208" s="16" t="str">
        <f t="shared" ref="I208:M208" si="204">IF(OR(B208="",B207=""),"",B208-B207)</f>
        <v/>
      </c>
      <c r="J208" s="16" t="str">
        <f t="shared" si="204"/>
        <v/>
      </c>
      <c r="K208" s="16" t="str">
        <f t="shared" si="204"/>
        <v/>
      </c>
      <c r="L208" s="16" t="str">
        <f t="shared" si="204"/>
        <v/>
      </c>
      <c r="M208" s="16" t="str">
        <f t="shared" si="204"/>
        <v/>
      </c>
    </row>
    <row r="209" ht="15.75" customHeight="1">
      <c r="A209" s="11">
        <v>46379.0</v>
      </c>
      <c r="B209" s="12"/>
      <c r="C209" s="12"/>
      <c r="D209" s="12"/>
      <c r="E209" s="12"/>
      <c r="F209" s="12"/>
      <c r="G209" s="13" t="str">
        <f t="shared" si="1"/>
        <v/>
      </c>
      <c r="H209" s="14">
        <v>3000000.0</v>
      </c>
      <c r="I209" s="16" t="str">
        <f t="shared" ref="I209:M209" si="205">IF(OR(B209="",B208=""),"",B209-B208)</f>
        <v/>
      </c>
      <c r="J209" s="16" t="str">
        <f t="shared" si="205"/>
        <v/>
      </c>
      <c r="K209" s="16" t="str">
        <f t="shared" si="205"/>
        <v/>
      </c>
      <c r="L209" s="16" t="str">
        <f t="shared" si="205"/>
        <v/>
      </c>
      <c r="M209" s="16" t="str">
        <f t="shared" si="205"/>
        <v/>
      </c>
    </row>
    <row r="210" ht="15.75" customHeight="1">
      <c r="A210" s="11">
        <v>46380.0</v>
      </c>
      <c r="B210" s="12"/>
      <c r="C210" s="12"/>
      <c r="D210" s="12"/>
      <c r="E210" s="12"/>
      <c r="F210" s="12"/>
      <c r="G210" s="13" t="str">
        <f t="shared" si="1"/>
        <v/>
      </c>
      <c r="H210" s="14">
        <v>3000000.0</v>
      </c>
      <c r="I210" s="16" t="str">
        <f t="shared" ref="I210:M210" si="206">IF(OR(B210="",B209=""),"",B210-B209)</f>
        <v/>
      </c>
      <c r="J210" s="16" t="str">
        <f t="shared" si="206"/>
        <v/>
      </c>
      <c r="K210" s="16" t="str">
        <f t="shared" si="206"/>
        <v/>
      </c>
      <c r="L210" s="16" t="str">
        <f t="shared" si="206"/>
        <v/>
      </c>
      <c r="M210" s="16" t="str">
        <f t="shared" si="206"/>
        <v/>
      </c>
    </row>
    <row r="211" ht="15.75" customHeight="1">
      <c r="A211" s="11">
        <v>46381.0</v>
      </c>
      <c r="B211" s="12"/>
      <c r="C211" s="12"/>
      <c r="D211" s="12"/>
      <c r="E211" s="12"/>
      <c r="F211" s="12"/>
      <c r="G211" s="13" t="str">
        <f t="shared" si="1"/>
        <v/>
      </c>
      <c r="H211" s="14">
        <v>3000000.0</v>
      </c>
      <c r="I211" s="16" t="str">
        <f t="shared" ref="I211:M211" si="207">IF(OR(B211="",B210=""),"",B211-B210)</f>
        <v/>
      </c>
      <c r="J211" s="16" t="str">
        <f t="shared" si="207"/>
        <v/>
      </c>
      <c r="K211" s="16" t="str">
        <f t="shared" si="207"/>
        <v/>
      </c>
      <c r="L211" s="16" t="str">
        <f t="shared" si="207"/>
        <v/>
      </c>
      <c r="M211" s="16" t="str">
        <f t="shared" si="207"/>
        <v/>
      </c>
    </row>
    <row r="212" ht="15.75" customHeight="1">
      <c r="A212" s="11">
        <v>46382.0</v>
      </c>
      <c r="B212" s="12"/>
      <c r="C212" s="12"/>
      <c r="D212" s="12"/>
      <c r="E212" s="12"/>
      <c r="F212" s="12"/>
      <c r="G212" s="13" t="str">
        <f t="shared" si="1"/>
        <v/>
      </c>
      <c r="H212" s="14">
        <v>3000000.0</v>
      </c>
      <c r="I212" s="16" t="str">
        <f t="shared" ref="I212:M212" si="208">IF(OR(B212="",B211=""),"",B212-B211)</f>
        <v/>
      </c>
      <c r="J212" s="16" t="str">
        <f t="shared" si="208"/>
        <v/>
      </c>
      <c r="K212" s="16" t="str">
        <f t="shared" si="208"/>
        <v/>
      </c>
      <c r="L212" s="16" t="str">
        <f t="shared" si="208"/>
        <v/>
      </c>
      <c r="M212" s="16" t="str">
        <f t="shared" si="208"/>
        <v/>
      </c>
    </row>
    <row r="213" ht="15.75" customHeight="1">
      <c r="A213" s="11">
        <v>46383.0</v>
      </c>
      <c r="B213" s="12"/>
      <c r="C213" s="12"/>
      <c r="D213" s="12"/>
      <c r="E213" s="12"/>
      <c r="F213" s="12"/>
      <c r="G213" s="13" t="str">
        <f t="shared" si="1"/>
        <v/>
      </c>
      <c r="H213" s="14">
        <v>3000000.0</v>
      </c>
      <c r="I213" s="16" t="str">
        <f t="shared" ref="I213:M213" si="209">IF(OR(B213="",B212=""),"",B213-B212)</f>
        <v/>
      </c>
      <c r="J213" s="16" t="str">
        <f t="shared" si="209"/>
        <v/>
      </c>
      <c r="K213" s="16" t="str">
        <f t="shared" si="209"/>
        <v/>
      </c>
      <c r="L213" s="16" t="str">
        <f t="shared" si="209"/>
        <v/>
      </c>
      <c r="M213" s="16" t="str">
        <f t="shared" si="209"/>
        <v/>
      </c>
    </row>
    <row r="214" ht="15.75" customHeight="1">
      <c r="A214" s="11">
        <v>46384.0</v>
      </c>
      <c r="B214" s="12"/>
      <c r="C214" s="12"/>
      <c r="D214" s="12"/>
      <c r="E214" s="12"/>
      <c r="F214" s="12"/>
      <c r="G214" s="13" t="str">
        <f t="shared" si="1"/>
        <v/>
      </c>
      <c r="H214" s="14">
        <v>3000000.0</v>
      </c>
      <c r="I214" s="16" t="str">
        <f t="shared" ref="I214:M214" si="210">IF(OR(B214="",B213=""),"",B214-B213)</f>
        <v/>
      </c>
      <c r="J214" s="16" t="str">
        <f t="shared" si="210"/>
        <v/>
      </c>
      <c r="K214" s="16" t="str">
        <f t="shared" si="210"/>
        <v/>
      </c>
      <c r="L214" s="16" t="str">
        <f t="shared" si="210"/>
        <v/>
      </c>
      <c r="M214" s="16" t="str">
        <f t="shared" si="210"/>
        <v/>
      </c>
    </row>
    <row r="215" ht="15.75" customHeight="1">
      <c r="A215" s="11">
        <v>46385.0</v>
      </c>
      <c r="B215" s="12"/>
      <c r="C215" s="12"/>
      <c r="D215" s="12"/>
      <c r="E215" s="12"/>
      <c r="F215" s="12"/>
      <c r="G215" s="13" t="str">
        <f t="shared" si="1"/>
        <v/>
      </c>
      <c r="H215" s="14">
        <v>3000000.0</v>
      </c>
      <c r="I215" s="16" t="str">
        <f t="shared" ref="I215:M215" si="211">IF(OR(B215="",B214=""),"",B215-B214)</f>
        <v/>
      </c>
      <c r="J215" s="16" t="str">
        <f t="shared" si="211"/>
        <v/>
      </c>
      <c r="K215" s="16" t="str">
        <f t="shared" si="211"/>
        <v/>
      </c>
      <c r="L215" s="16" t="str">
        <f t="shared" si="211"/>
        <v/>
      </c>
      <c r="M215" s="16" t="str">
        <f t="shared" si="211"/>
        <v/>
      </c>
    </row>
    <row r="216" ht="15.75" customHeight="1">
      <c r="A216" s="11">
        <v>46386.0</v>
      </c>
      <c r="B216" s="12"/>
      <c r="C216" s="12"/>
      <c r="D216" s="12"/>
      <c r="E216" s="12"/>
      <c r="F216" s="12"/>
      <c r="G216" s="13" t="str">
        <f t="shared" si="1"/>
        <v/>
      </c>
      <c r="H216" s="14">
        <v>3000000.0</v>
      </c>
      <c r="I216" s="16" t="str">
        <f t="shared" ref="I216:M216" si="212">IF(OR(B216="",B215=""),"",B216-B215)</f>
        <v/>
      </c>
      <c r="J216" s="16" t="str">
        <f t="shared" si="212"/>
        <v/>
      </c>
      <c r="K216" s="16" t="str">
        <f t="shared" si="212"/>
        <v/>
      </c>
      <c r="L216" s="16" t="str">
        <f t="shared" si="212"/>
        <v/>
      </c>
      <c r="M216" s="16" t="str">
        <f t="shared" si="212"/>
        <v/>
      </c>
    </row>
    <row r="217" ht="15.75" customHeight="1">
      <c r="A217" s="11">
        <v>46387.0</v>
      </c>
      <c r="B217" s="12"/>
      <c r="C217" s="12"/>
      <c r="D217" s="12"/>
      <c r="E217" s="12"/>
      <c r="F217" s="12"/>
      <c r="G217" s="13" t="str">
        <f t="shared" si="1"/>
        <v/>
      </c>
      <c r="H217" s="14">
        <v>3000000.0</v>
      </c>
      <c r="I217" s="16" t="str">
        <f t="shared" ref="I217:M217" si="213">IF(OR(B217="",B216=""),"",B217-B216)</f>
        <v/>
      </c>
      <c r="J217" s="16" t="str">
        <f t="shared" si="213"/>
        <v/>
      </c>
      <c r="K217" s="16" t="str">
        <f t="shared" si="213"/>
        <v/>
      </c>
      <c r="L217" s="16" t="str">
        <f t="shared" si="213"/>
        <v/>
      </c>
      <c r="M217" s="16" t="str">
        <f t="shared" si="213"/>
        <v/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2:M2"/>
    <mergeCell ref="B3:F3"/>
    <mergeCell ref="I3:M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4" width="14.0"/>
    <col customWidth="1" min="5" max="5" width="12.0"/>
    <col customWidth="1" min="6" max="6" width="14.0"/>
    <col customWidth="1" min="7" max="26" width="8.71"/>
  </cols>
  <sheetData>
    <row r="1" ht="27.75" customHeight="1">
      <c r="A1" s="5" t="s">
        <v>1</v>
      </c>
      <c r="B1" s="2"/>
      <c r="C1" s="2"/>
      <c r="D1" s="2"/>
      <c r="E1" s="2"/>
      <c r="F1" s="3"/>
    </row>
    <row r="4">
      <c r="A4" s="7" t="s">
        <v>4</v>
      </c>
      <c r="B4" s="8">
        <v>4000000.0</v>
      </c>
    </row>
    <row r="5">
      <c r="A5" s="7" t="s">
        <v>5</v>
      </c>
      <c r="B5" s="13">
        <f>LOOKUP(9.99E+307,'Log Diário'!G5:G217)</f>
        <v>3006848</v>
      </c>
    </row>
    <row r="6">
      <c r="A6" s="7" t="s">
        <v>21</v>
      </c>
      <c r="B6" s="17">
        <f t="array" ref="B6">INDEX('Log Diário'!A5:A217,MATCH(9.99E+307,'Log Diário'!G5:G217))</f>
        <v>46258</v>
      </c>
    </row>
    <row r="7">
      <c r="A7" s="7" t="s">
        <v>22</v>
      </c>
      <c r="B7" s="18">
        <f>B5/B4</f>
        <v>0.751712</v>
      </c>
    </row>
    <row r="8">
      <c r="A8" s="7" t="s">
        <v>23</v>
      </c>
      <c r="B8" s="13">
        <f>B4-B5</f>
        <v>993152</v>
      </c>
    </row>
    <row r="9">
      <c r="A9" s="7" t="s">
        <v>24</v>
      </c>
      <c r="B9" s="19">
        <f t="array" ref="B9">B5-INDEX('Log Diário'!G5:G217,MATCH(9.99E+307,'Log Diário'!G5:G217)-7)</f>
        <v>3556</v>
      </c>
    </row>
    <row r="10">
      <c r="A10" s="7" t="s">
        <v>25</v>
      </c>
      <c r="B10" s="19">
        <f>(B5-'Log Diário'!G5)/((B6-'Log Diário'!A5)/7)</f>
        <v>1642.975904</v>
      </c>
    </row>
    <row r="11">
      <c r="A11" s="7" t="s">
        <v>26</v>
      </c>
      <c r="B11" s="20">
        <f>IF(B9&lt;=0,"—",B8/B9)</f>
        <v>279.2890889</v>
      </c>
    </row>
    <row r="12">
      <c r="A12" s="7" t="s">
        <v>27</v>
      </c>
      <c r="B12" s="17">
        <f>IF(B9&lt;=0,"—",B6+B11*7)</f>
        <v>48213.02362</v>
      </c>
    </row>
    <row r="13">
      <c r="A13" s="7" t="s">
        <v>28</v>
      </c>
      <c r="B13" s="17">
        <f>IF(B10&lt;=0,"—",B6+(B8/B10)*7)</f>
        <v>50489.38525</v>
      </c>
    </row>
    <row r="15">
      <c r="A15" s="21" t="s">
        <v>29</v>
      </c>
    </row>
    <row r="17">
      <c r="A17" s="9" t="s">
        <v>30</v>
      </c>
      <c r="B17" s="2"/>
      <c r="C17" s="2"/>
      <c r="D17" s="2"/>
      <c r="E17" s="2"/>
      <c r="F17" s="3"/>
    </row>
    <row r="18">
      <c r="A18" s="22" t="s">
        <v>31</v>
      </c>
      <c r="B18" s="22" t="s">
        <v>32</v>
      </c>
      <c r="C18" s="22" t="s">
        <v>33</v>
      </c>
      <c r="D18" s="22" t="s">
        <v>34</v>
      </c>
      <c r="E18" s="22" t="s">
        <v>35</v>
      </c>
      <c r="F18" s="22" t="s">
        <v>36</v>
      </c>
    </row>
    <row r="19">
      <c r="A19" s="23">
        <v>46182.0</v>
      </c>
      <c r="B19" s="24">
        <f t="array" ref="B19">IFERROR(IF(INDEX('Log Diário'!G5:G217,MATCH(A19,'Log Diário'!A5:A217,0))="","",INDEX('Log Diário'!G5:G217,MATCH(A19,'Log Diário'!A5:A217,0))),"")</f>
        <v>2987983</v>
      </c>
      <c r="C19" s="24">
        <v>3000000.0</v>
      </c>
      <c r="D19" s="25">
        <f t="array" ref="D19">IFERROR(IF(OR(B19="",INDEX('Log Diário'!G5:G217,MATCH(A19,'Log Diário'!A5:A217,0)-7)=""),"",B19-INDEX('Log Diário'!G5:G217,MATCH(A19,'Log Diário'!A5:A217,0)-7)),"")</f>
        <v>616</v>
      </c>
      <c r="E19" s="26">
        <f t="shared" ref="E19:E50" si="1">IF(B19="","",B19/$B$4)</f>
        <v>0.74699575</v>
      </c>
      <c r="F19" s="24">
        <f t="shared" ref="F19:F50" si="2">IF(B19="","",$B$4-B19)</f>
        <v>1012017</v>
      </c>
    </row>
    <row r="20">
      <c r="A20" s="27">
        <v>46189.0</v>
      </c>
      <c r="B20" s="28">
        <f t="array" ref="B20">IFERROR(IF(INDEX('Log Diário'!G5:G217,MATCH(A20,'Log Diário'!A5:A217,0))="","",INDEX('Log Diário'!G5:G217,MATCH(A20,'Log Diário'!A5:A217,0))),"")</f>
        <v>2986975</v>
      </c>
      <c r="C20" s="28">
        <v>3000000.0</v>
      </c>
      <c r="D20" s="29">
        <f t="array" ref="D20">IFERROR(IF(OR(B20="",INDEX('Log Diário'!G5:G217,MATCH(A20,'Log Diário'!A5:A217,0)-7)=""),"",B20-INDEX('Log Diário'!G5:G217,MATCH(A20,'Log Diário'!A5:A217,0)-7)),"")</f>
        <v>-1008</v>
      </c>
      <c r="E20" s="30">
        <f t="shared" si="1"/>
        <v>0.74674375</v>
      </c>
      <c r="F20" s="28">
        <f t="shared" si="2"/>
        <v>1013025</v>
      </c>
    </row>
    <row r="21" ht="15.75" customHeight="1">
      <c r="A21" s="23">
        <v>46196.0</v>
      </c>
      <c r="B21" s="24">
        <f t="array" ref="B21">IFERROR(IF(INDEX('Log Diário'!G5:G217,MATCH(A21,'Log Diário'!A5:A217,0))="","",INDEX('Log Diário'!G5:G217,MATCH(A21,'Log Diário'!A5:A217,0))),"")</f>
        <v>2987294</v>
      </c>
      <c r="C21" s="24">
        <v>3000000.0</v>
      </c>
      <c r="D21" s="25">
        <f t="array" ref="D21">IFERROR(IF(OR(B21="",INDEX('Log Diário'!G5:G217,MATCH(A21,'Log Diário'!A5:A217,0)-7)=""),"",B21-INDEX('Log Diário'!G5:G217,MATCH(A21,'Log Diário'!A5:A217,0)-7)),"")</f>
        <v>319</v>
      </c>
      <c r="E21" s="26">
        <f t="shared" si="1"/>
        <v>0.7468235</v>
      </c>
      <c r="F21" s="24">
        <f t="shared" si="2"/>
        <v>1012706</v>
      </c>
    </row>
    <row r="22" ht="15.75" customHeight="1">
      <c r="A22" s="27">
        <v>46203.0</v>
      </c>
      <c r="B22" s="28">
        <f t="array" ref="B22">IFERROR(IF(INDEX('Log Diário'!G5:G217,MATCH(A22,'Log Diário'!A5:A217,0))="","",INDEX('Log Diário'!G5:G217,MATCH(A22,'Log Diário'!A5:A217,0))),"")</f>
        <v>2985543</v>
      </c>
      <c r="C22" s="28">
        <v>3000000.0</v>
      </c>
      <c r="D22" s="29">
        <f t="array" ref="D22">IFERROR(IF(OR(B22="",INDEX('Log Diário'!G5:G217,MATCH(A22,'Log Diário'!A5:A217,0)-7)=""),"",B22-INDEX('Log Diário'!G5:G217,MATCH(A22,'Log Diário'!A5:A217,0)-7)),"")</f>
        <v>-1751</v>
      </c>
      <c r="E22" s="30">
        <f t="shared" si="1"/>
        <v>0.74638575</v>
      </c>
      <c r="F22" s="28">
        <f t="shared" si="2"/>
        <v>1014457</v>
      </c>
    </row>
    <row r="23" ht="15.75" customHeight="1">
      <c r="A23" s="23">
        <v>46210.0</v>
      </c>
      <c r="B23" s="24">
        <f t="array" ref="B23">IFERROR(IF(INDEX('Log Diário'!G5:G217,MATCH(A23,'Log Diário'!A5:A217,0))="","",INDEX('Log Diário'!G5:G217,MATCH(A23,'Log Diário'!A5:A217,0))),"")</f>
        <v>2986573</v>
      </c>
      <c r="C23" s="24">
        <v>3000000.0</v>
      </c>
      <c r="D23" s="25">
        <f t="array" ref="D23">IFERROR(IF(OR(B23="",INDEX('Log Diário'!G5:G217,MATCH(A23,'Log Diário'!A5:A217,0)-7)=""),"",B23-INDEX('Log Diário'!G5:G217,MATCH(A23,'Log Diário'!A5:A217,0)-7)),"")</f>
        <v>1030</v>
      </c>
      <c r="E23" s="26">
        <f t="shared" si="1"/>
        <v>0.74664325</v>
      </c>
      <c r="F23" s="24">
        <f t="shared" si="2"/>
        <v>1013427</v>
      </c>
    </row>
    <row r="24" ht="15.75" customHeight="1">
      <c r="A24" s="27">
        <v>46217.0</v>
      </c>
      <c r="B24" s="28">
        <f t="array" ref="B24">IFERROR(IF(INDEX('Log Diário'!G5:G217,MATCH(A24,'Log Diário'!A5:A217,0))="","",INDEX('Log Diário'!G5:G217,MATCH(A24,'Log Diário'!A5:A217,0))),"")</f>
        <v>2988918</v>
      </c>
      <c r="C24" s="28">
        <v>3000000.0</v>
      </c>
      <c r="D24" s="29">
        <f t="array" ref="D24">IFERROR(IF(OR(B24="",INDEX('Log Diário'!G5:G217,MATCH(A24,'Log Diário'!A5:A217,0)-7)=""),"",B24-INDEX('Log Diário'!G5:G217,MATCH(A24,'Log Diário'!A5:A217,0)-7)),"")</f>
        <v>2345</v>
      </c>
      <c r="E24" s="30">
        <f t="shared" si="1"/>
        <v>0.7472295</v>
      </c>
      <c r="F24" s="28">
        <f t="shared" si="2"/>
        <v>1011082</v>
      </c>
    </row>
    <row r="25" ht="15.75" customHeight="1">
      <c r="A25" s="23">
        <v>46224.0</v>
      </c>
      <c r="B25" s="24">
        <f t="array" ref="B25">IFERROR(IF(INDEX('Log Diário'!G5:G217,MATCH(A25,'Log Diário'!A5:A217,0))="","",INDEX('Log Diário'!G5:G217,MATCH(A25,'Log Diário'!A5:A217,0))),"")</f>
        <v>2991543</v>
      </c>
      <c r="C25" s="24">
        <v>3000000.0</v>
      </c>
      <c r="D25" s="25">
        <f t="array" ref="D25">IFERROR(IF(OR(B25="",INDEX('Log Diário'!G5:G217,MATCH(A25,'Log Diário'!A5:A217,0)-7)=""),"",B25-INDEX('Log Diário'!G5:G217,MATCH(A25,'Log Diário'!A5:A217,0)-7)),"")</f>
        <v>2625</v>
      </c>
      <c r="E25" s="26">
        <f t="shared" si="1"/>
        <v>0.74788575</v>
      </c>
      <c r="F25" s="24">
        <f t="shared" si="2"/>
        <v>1008457</v>
      </c>
    </row>
    <row r="26" ht="15.75" customHeight="1">
      <c r="A26" s="27">
        <v>46231.0</v>
      </c>
      <c r="B26" s="28">
        <f t="array" ref="B26">IFERROR(IF(INDEX('Log Diário'!G5:G217,MATCH(A26,'Log Diário'!A5:A217,0))="","",INDEX('Log Diário'!G5:G217,MATCH(A26,'Log Diário'!A5:A217,0))),"")</f>
        <v>2991543</v>
      </c>
      <c r="C26" s="28">
        <v>3000000.0</v>
      </c>
      <c r="D26" s="29">
        <f t="array" ref="D26">IFERROR(IF(OR(B26="",INDEX('Log Diário'!G5:G217,MATCH(A26,'Log Diário'!A5:A217,0)-7)=""),"",B26-INDEX('Log Diário'!G5:G217,MATCH(A26,'Log Diário'!A5:A217,0)-7)),"")</f>
        <v>0</v>
      </c>
      <c r="E26" s="30">
        <f t="shared" si="1"/>
        <v>0.74788575</v>
      </c>
      <c r="F26" s="28">
        <f t="shared" si="2"/>
        <v>1008457</v>
      </c>
    </row>
    <row r="27" ht="15.75" customHeight="1">
      <c r="A27" s="23">
        <v>46238.0</v>
      </c>
      <c r="B27" s="24">
        <f t="array" ref="B27">IFERROR(IF(INDEX('Log Diário'!G5:G217,MATCH(A27,'Log Diário'!A5:A217,0))="","",INDEX('Log Diário'!G5:G217,MATCH(A27,'Log Diário'!A5:A217,0))),"")</f>
        <v>2995120</v>
      </c>
      <c r="C27" s="24">
        <v>3000000.0</v>
      </c>
      <c r="D27" s="25">
        <f t="array" ref="D27">IFERROR(IF(OR(B27="",INDEX('Log Diário'!G5:G217,MATCH(A27,'Log Diário'!A5:A217,0)-7)=""),"",B27-INDEX('Log Diário'!G5:G217,MATCH(A27,'Log Diário'!A5:A217,0)-7)),"")</f>
        <v>3577</v>
      </c>
      <c r="E27" s="26">
        <f t="shared" si="1"/>
        <v>0.74878</v>
      </c>
      <c r="F27" s="24">
        <f t="shared" si="2"/>
        <v>1004880</v>
      </c>
    </row>
    <row r="28" ht="15.75" customHeight="1">
      <c r="A28" s="27">
        <v>46245.0</v>
      </c>
      <c r="B28" s="28">
        <f t="array" ref="B28">IFERROR(IF(INDEX('Log Diário'!G5:G217,MATCH(A28,'Log Diário'!A5:A217,0))="","",INDEX('Log Diário'!G5:G217,MATCH(A28,'Log Diário'!A5:A217,0))),"")</f>
        <v>2998444</v>
      </c>
      <c r="C28" s="28">
        <v>3000000.0</v>
      </c>
      <c r="D28" s="29">
        <f t="array" ref="D28">IFERROR(IF(OR(B28="",INDEX('Log Diário'!G5:G217,MATCH(A28,'Log Diário'!A5:A217,0)-7)=""),"",B28-INDEX('Log Diário'!G5:G217,MATCH(A28,'Log Diário'!A5:A217,0)-7)),"")</f>
        <v>3324</v>
      </c>
      <c r="E28" s="30">
        <f t="shared" si="1"/>
        <v>0.749611</v>
      </c>
      <c r="F28" s="28">
        <f t="shared" si="2"/>
        <v>1001556</v>
      </c>
    </row>
    <row r="29" ht="15.75" customHeight="1">
      <c r="A29" s="39">
        <v>46251.0</v>
      </c>
      <c r="B29" s="24">
        <f t="array" ref="B29">IFERROR(IF(INDEX('Log Diário'!G5:G217,MATCH(A29,'Log Diário'!A5:A217,0))="","",INDEX('Log Diário'!G5:G217,MATCH(A29,'Log Diário'!A5:A217,0))),"")</f>
        <v>3003292</v>
      </c>
      <c r="C29" s="40">
        <v>4000000.0</v>
      </c>
      <c r="D29" s="25">
        <f t="array" ref="D29">IFERROR(IF(OR(B29="",INDEX('Log Diário'!G5:G217,MATCH(A29,'Log Diário'!A5:A217,0)-7)=""),"",B29-INDEX('Log Diário'!G5:G217,MATCH(A29,'Log Diário'!A5:A217,0)-7)),"")</f>
        <v>4848</v>
      </c>
      <c r="E29" s="26">
        <f t="shared" si="1"/>
        <v>0.750823</v>
      </c>
      <c r="F29" s="24">
        <f t="shared" si="2"/>
        <v>996708</v>
      </c>
    </row>
    <row r="30" ht="15.75" customHeight="1">
      <c r="A30" s="27">
        <v>46259.0</v>
      </c>
      <c r="B30" s="28" t="str">
        <f t="array" ref="B30">IFERROR(IF(INDEX('Log Diário'!G5:G217,MATCH(A30,'Log Diário'!A5:A217,0))="","",INDEX('Log Diário'!G5:G217,MATCH(A30,'Log Diário'!A5:A217,0))),"")</f>
        <v/>
      </c>
      <c r="C30" s="40">
        <v>4000000.0</v>
      </c>
      <c r="D30" s="29" t="str">
        <f t="array" ref="D30">IFERROR(IF(OR(B30="",INDEX('Log Diário'!G5:G217,MATCH(A30,'Log Diário'!A5:A217,0)-7)=""),"",B30-INDEX('Log Diário'!G5:G217,MATCH(A30,'Log Diário'!A5:A217,0)-7)),"")</f>
        <v/>
      </c>
      <c r="E30" s="30" t="str">
        <f t="shared" si="1"/>
        <v/>
      </c>
      <c r="F30" s="28" t="str">
        <f t="shared" si="2"/>
        <v/>
      </c>
    </row>
    <row r="31" ht="15.75" customHeight="1">
      <c r="A31" s="23">
        <v>46266.0</v>
      </c>
      <c r="B31" s="24" t="str">
        <f t="array" ref="B31">IFERROR(IF(INDEX('Log Diário'!G5:G217,MATCH(A31,'Log Diário'!A5:A217,0))="","",INDEX('Log Diário'!G5:G217,MATCH(A31,'Log Diário'!A5:A217,0))),"")</f>
        <v/>
      </c>
      <c r="C31" s="40">
        <v>4000000.0</v>
      </c>
      <c r="D31" s="25" t="str">
        <f t="array" ref="D31">IFERROR(IF(OR(B31="",INDEX('Log Diário'!G5:G217,MATCH(A31,'Log Diário'!A5:A217,0)-7)=""),"",B31-INDEX('Log Diário'!G5:G217,MATCH(A31,'Log Diário'!A5:A217,0)-7)),"")</f>
        <v/>
      </c>
      <c r="E31" s="26" t="str">
        <f t="shared" si="1"/>
        <v/>
      </c>
      <c r="F31" s="24" t="str">
        <f t="shared" si="2"/>
        <v/>
      </c>
    </row>
    <row r="32" ht="15.75" customHeight="1">
      <c r="A32" s="27">
        <v>46273.0</v>
      </c>
      <c r="B32" s="28" t="str">
        <f t="array" ref="B32">IFERROR(IF(INDEX('Log Diário'!G5:G217,MATCH(A32,'Log Diário'!A5:A217,0))="","",INDEX('Log Diário'!G5:G217,MATCH(A32,'Log Diário'!A5:A217,0))),"")</f>
        <v/>
      </c>
      <c r="C32" s="40">
        <v>4000000.0</v>
      </c>
      <c r="D32" s="29" t="str">
        <f t="array" ref="D32">IFERROR(IF(OR(B32="",INDEX('Log Diário'!G5:G217,MATCH(A32,'Log Diário'!A5:A217,0)-7)=""),"",B32-INDEX('Log Diário'!G5:G217,MATCH(A32,'Log Diário'!A5:A217,0)-7)),"")</f>
        <v/>
      </c>
      <c r="E32" s="30" t="str">
        <f t="shared" si="1"/>
        <v/>
      </c>
      <c r="F32" s="28" t="str">
        <f t="shared" si="2"/>
        <v/>
      </c>
    </row>
    <row r="33" ht="15.75" customHeight="1">
      <c r="A33" s="23">
        <v>46280.0</v>
      </c>
      <c r="B33" s="24" t="str">
        <f t="array" ref="B33">IFERROR(IF(INDEX('Log Diário'!G5:G217,MATCH(A33,'Log Diário'!A5:A217,0))="","",INDEX('Log Diário'!G5:G217,MATCH(A33,'Log Diário'!A5:A217,0))),"")</f>
        <v/>
      </c>
      <c r="C33" s="40">
        <v>4000000.0</v>
      </c>
      <c r="D33" s="25" t="str">
        <f t="array" ref="D33">IFERROR(IF(OR(B33="",INDEX('Log Diário'!G5:G217,MATCH(A33,'Log Diário'!A5:A217,0)-7)=""),"",B33-INDEX('Log Diário'!G5:G217,MATCH(A33,'Log Diário'!A5:A217,0)-7)),"")</f>
        <v/>
      </c>
      <c r="E33" s="26" t="str">
        <f t="shared" si="1"/>
        <v/>
      </c>
      <c r="F33" s="24" t="str">
        <f t="shared" si="2"/>
        <v/>
      </c>
    </row>
    <row r="34" ht="15.75" customHeight="1">
      <c r="A34" s="27">
        <v>46287.0</v>
      </c>
      <c r="B34" s="28" t="str">
        <f t="array" ref="B34">IFERROR(IF(INDEX('Log Diário'!G5:G217,MATCH(A34,'Log Diário'!A5:A217,0))="","",INDEX('Log Diário'!G5:G217,MATCH(A34,'Log Diário'!A5:A217,0))),"")</f>
        <v/>
      </c>
      <c r="C34" s="40">
        <v>4000000.0</v>
      </c>
      <c r="D34" s="29" t="str">
        <f t="array" ref="D34">IFERROR(IF(OR(B34="",INDEX('Log Diário'!G5:G217,MATCH(A34,'Log Diário'!A5:A217,0)-7)=""),"",B34-INDEX('Log Diário'!G5:G217,MATCH(A34,'Log Diário'!A5:A217,0)-7)),"")</f>
        <v/>
      </c>
      <c r="E34" s="30" t="str">
        <f t="shared" si="1"/>
        <v/>
      </c>
      <c r="F34" s="28" t="str">
        <f t="shared" si="2"/>
        <v/>
      </c>
    </row>
    <row r="35" ht="15.75" customHeight="1">
      <c r="A35" s="23">
        <v>46294.0</v>
      </c>
      <c r="B35" s="24" t="str">
        <f t="array" ref="B35">IFERROR(IF(INDEX('Log Diário'!G5:G217,MATCH(A35,'Log Diário'!A5:A217,0))="","",INDEX('Log Diário'!G5:G217,MATCH(A35,'Log Diário'!A5:A217,0))),"")</f>
        <v/>
      </c>
      <c r="C35" s="40">
        <v>4000000.0</v>
      </c>
      <c r="D35" s="25" t="str">
        <f t="array" ref="D35">IFERROR(IF(OR(B35="",INDEX('Log Diário'!G5:G217,MATCH(A35,'Log Diário'!A5:A217,0)-7)=""),"",B35-INDEX('Log Diário'!G5:G217,MATCH(A35,'Log Diário'!A5:A217,0)-7)),"")</f>
        <v/>
      </c>
      <c r="E35" s="26" t="str">
        <f t="shared" si="1"/>
        <v/>
      </c>
      <c r="F35" s="24" t="str">
        <f t="shared" si="2"/>
        <v/>
      </c>
    </row>
    <row r="36" ht="15.75" customHeight="1">
      <c r="A36" s="27">
        <v>46301.0</v>
      </c>
      <c r="B36" s="28" t="str">
        <f t="array" ref="B36">IFERROR(IF(INDEX('Log Diário'!G5:G217,MATCH(A36,'Log Diário'!A5:A217,0))="","",INDEX('Log Diário'!G5:G217,MATCH(A36,'Log Diário'!A5:A217,0))),"")</f>
        <v/>
      </c>
      <c r="C36" s="40">
        <v>4000000.0</v>
      </c>
      <c r="D36" s="29" t="str">
        <f t="array" ref="D36">IFERROR(IF(OR(B36="",INDEX('Log Diário'!G5:G217,MATCH(A36,'Log Diário'!A5:A217,0)-7)=""),"",B36-INDEX('Log Diário'!G5:G217,MATCH(A36,'Log Diário'!A5:A217,0)-7)),"")</f>
        <v/>
      </c>
      <c r="E36" s="30" t="str">
        <f t="shared" si="1"/>
        <v/>
      </c>
      <c r="F36" s="28" t="str">
        <f t="shared" si="2"/>
        <v/>
      </c>
    </row>
    <row r="37" ht="15.75" customHeight="1">
      <c r="A37" s="23">
        <v>46308.0</v>
      </c>
      <c r="B37" s="24" t="str">
        <f t="array" ref="B37">IFERROR(IF(INDEX('Log Diário'!G5:G217,MATCH(A37,'Log Diário'!A5:A217,0))="","",INDEX('Log Diário'!G5:G217,MATCH(A37,'Log Diário'!A5:A217,0))),"")</f>
        <v/>
      </c>
      <c r="C37" s="40">
        <v>4000000.0</v>
      </c>
      <c r="D37" s="25" t="str">
        <f t="array" ref="D37">IFERROR(IF(OR(B37="",INDEX('Log Diário'!G5:G217,MATCH(A37,'Log Diário'!A5:A217,0)-7)=""),"",B37-INDEX('Log Diário'!G5:G217,MATCH(A37,'Log Diário'!A5:A217,0)-7)),"")</f>
        <v/>
      </c>
      <c r="E37" s="26" t="str">
        <f t="shared" si="1"/>
        <v/>
      </c>
      <c r="F37" s="24" t="str">
        <f t="shared" si="2"/>
        <v/>
      </c>
    </row>
    <row r="38" ht="15.75" customHeight="1">
      <c r="A38" s="27">
        <v>46315.0</v>
      </c>
      <c r="B38" s="28" t="str">
        <f t="array" ref="B38">IFERROR(IF(INDEX('Log Diário'!G5:G217,MATCH(A38,'Log Diário'!A5:A217,0))="","",INDEX('Log Diário'!G5:G217,MATCH(A38,'Log Diário'!A5:A217,0))),"")</f>
        <v/>
      </c>
      <c r="C38" s="40">
        <v>4000000.0</v>
      </c>
      <c r="D38" s="29" t="str">
        <f t="array" ref="D38">IFERROR(IF(OR(B38="",INDEX('Log Diário'!G5:G217,MATCH(A38,'Log Diário'!A5:A217,0)-7)=""),"",B38-INDEX('Log Diário'!G5:G217,MATCH(A38,'Log Diário'!A5:A217,0)-7)),"")</f>
        <v/>
      </c>
      <c r="E38" s="30" t="str">
        <f t="shared" si="1"/>
        <v/>
      </c>
      <c r="F38" s="28" t="str">
        <f t="shared" si="2"/>
        <v/>
      </c>
    </row>
    <row r="39" ht="15.75" customHeight="1">
      <c r="A39" s="23">
        <v>46322.0</v>
      </c>
      <c r="B39" s="24" t="str">
        <f t="array" ref="B39">IFERROR(IF(INDEX('Log Diário'!G5:G217,MATCH(A39,'Log Diário'!A5:A217,0))="","",INDEX('Log Diário'!G5:G217,MATCH(A39,'Log Diário'!A5:A217,0))),"")</f>
        <v/>
      </c>
      <c r="C39" s="40">
        <v>4000000.0</v>
      </c>
      <c r="D39" s="25" t="str">
        <f t="array" ref="D39">IFERROR(IF(OR(B39="",INDEX('Log Diário'!G5:G217,MATCH(A39,'Log Diário'!A5:A217,0)-7)=""),"",B39-INDEX('Log Diário'!G5:G217,MATCH(A39,'Log Diário'!A5:A217,0)-7)),"")</f>
        <v/>
      </c>
      <c r="E39" s="26" t="str">
        <f t="shared" si="1"/>
        <v/>
      </c>
      <c r="F39" s="24" t="str">
        <f t="shared" si="2"/>
        <v/>
      </c>
    </row>
    <row r="40" ht="15.75" customHeight="1">
      <c r="A40" s="27">
        <v>46329.0</v>
      </c>
      <c r="B40" s="28" t="str">
        <f t="array" ref="B40">IFERROR(IF(INDEX('Log Diário'!G5:G217,MATCH(A40,'Log Diário'!A5:A217,0))="","",INDEX('Log Diário'!G5:G217,MATCH(A40,'Log Diário'!A5:A217,0))),"")</f>
        <v/>
      </c>
      <c r="C40" s="40">
        <v>4000000.0</v>
      </c>
      <c r="D40" s="29" t="str">
        <f t="array" ref="D40">IFERROR(IF(OR(B40="",INDEX('Log Diário'!G5:G217,MATCH(A40,'Log Diário'!A5:A217,0)-7)=""),"",B40-INDEX('Log Diário'!G5:G217,MATCH(A40,'Log Diário'!A5:A217,0)-7)),"")</f>
        <v/>
      </c>
      <c r="E40" s="30" t="str">
        <f t="shared" si="1"/>
        <v/>
      </c>
      <c r="F40" s="28" t="str">
        <f t="shared" si="2"/>
        <v/>
      </c>
    </row>
    <row r="41" ht="15.75" customHeight="1">
      <c r="A41" s="23">
        <v>46336.0</v>
      </c>
      <c r="B41" s="24" t="str">
        <f t="array" ref="B41">IFERROR(IF(INDEX('Log Diário'!G5:G217,MATCH(A41,'Log Diário'!A5:A217,0))="","",INDEX('Log Diário'!G5:G217,MATCH(A41,'Log Diário'!A5:A217,0))),"")</f>
        <v/>
      </c>
      <c r="C41" s="40">
        <v>4000000.0</v>
      </c>
      <c r="D41" s="25" t="str">
        <f t="array" ref="D41">IFERROR(IF(OR(B41="",INDEX('Log Diário'!G5:G217,MATCH(A41,'Log Diário'!A5:A217,0)-7)=""),"",B41-INDEX('Log Diário'!G5:G217,MATCH(A41,'Log Diário'!A5:A217,0)-7)),"")</f>
        <v/>
      </c>
      <c r="E41" s="26" t="str">
        <f t="shared" si="1"/>
        <v/>
      </c>
      <c r="F41" s="24" t="str">
        <f t="shared" si="2"/>
        <v/>
      </c>
    </row>
    <row r="42" ht="15.75" customHeight="1">
      <c r="A42" s="27">
        <v>46343.0</v>
      </c>
      <c r="B42" s="28" t="str">
        <f t="array" ref="B42">IFERROR(IF(INDEX('Log Diário'!G5:G217,MATCH(A42,'Log Diário'!A5:A217,0))="","",INDEX('Log Diário'!G5:G217,MATCH(A42,'Log Diário'!A5:A217,0))),"")</f>
        <v/>
      </c>
      <c r="C42" s="40">
        <v>4000000.0</v>
      </c>
      <c r="D42" s="29" t="str">
        <f t="array" ref="D42">IFERROR(IF(OR(B42="",INDEX('Log Diário'!G5:G217,MATCH(A42,'Log Diário'!A5:A217,0)-7)=""),"",B42-INDEX('Log Diário'!G5:G217,MATCH(A42,'Log Diário'!A5:A217,0)-7)),"")</f>
        <v/>
      </c>
      <c r="E42" s="30" t="str">
        <f t="shared" si="1"/>
        <v/>
      </c>
      <c r="F42" s="28" t="str">
        <f t="shared" si="2"/>
        <v/>
      </c>
    </row>
    <row r="43" ht="15.75" customHeight="1">
      <c r="A43" s="23">
        <v>46350.0</v>
      </c>
      <c r="B43" s="24" t="str">
        <f t="array" ref="B43">IFERROR(IF(INDEX('Log Diário'!G5:G217,MATCH(A43,'Log Diário'!A5:A217,0))="","",INDEX('Log Diário'!G5:G217,MATCH(A43,'Log Diário'!A5:A217,0))),"")</f>
        <v/>
      </c>
      <c r="C43" s="40">
        <v>4000000.0</v>
      </c>
      <c r="D43" s="25" t="str">
        <f t="array" ref="D43">IFERROR(IF(OR(B43="",INDEX('Log Diário'!G5:G217,MATCH(A43,'Log Diário'!A5:A217,0)-7)=""),"",B43-INDEX('Log Diário'!G5:G217,MATCH(A43,'Log Diário'!A5:A217,0)-7)),"")</f>
        <v/>
      </c>
      <c r="E43" s="26" t="str">
        <f t="shared" si="1"/>
        <v/>
      </c>
      <c r="F43" s="24" t="str">
        <f t="shared" si="2"/>
        <v/>
      </c>
    </row>
    <row r="44" ht="15.75" customHeight="1">
      <c r="A44" s="27">
        <v>46357.0</v>
      </c>
      <c r="B44" s="28" t="str">
        <f t="array" ref="B44">IFERROR(IF(INDEX('Log Diário'!G5:G217,MATCH(A44,'Log Diário'!A5:A217,0))="","",INDEX('Log Diário'!G5:G217,MATCH(A44,'Log Diário'!A5:A217,0))),"")</f>
        <v/>
      </c>
      <c r="C44" s="40">
        <v>4000000.0</v>
      </c>
      <c r="D44" s="29" t="str">
        <f t="array" ref="D44">IFERROR(IF(OR(B44="",INDEX('Log Diário'!G5:G217,MATCH(A44,'Log Diário'!A5:A217,0)-7)=""),"",B44-INDEX('Log Diário'!G5:G217,MATCH(A44,'Log Diário'!A5:A217,0)-7)),"")</f>
        <v/>
      </c>
      <c r="E44" s="30" t="str">
        <f t="shared" si="1"/>
        <v/>
      </c>
      <c r="F44" s="28" t="str">
        <f t="shared" si="2"/>
        <v/>
      </c>
    </row>
    <row r="45" ht="15.75" customHeight="1">
      <c r="A45" s="23">
        <v>46364.0</v>
      </c>
      <c r="B45" s="24" t="str">
        <f t="array" ref="B45">IFERROR(IF(INDEX('Log Diário'!G5:G217,MATCH(A45,'Log Diário'!A5:A217,0))="","",INDEX('Log Diário'!G5:G217,MATCH(A45,'Log Diário'!A5:A217,0))),"")</f>
        <v/>
      </c>
      <c r="C45" s="40">
        <v>4000000.0</v>
      </c>
      <c r="D45" s="25" t="str">
        <f t="array" ref="D45">IFERROR(IF(OR(B45="",INDEX('Log Diário'!G5:G217,MATCH(A45,'Log Diário'!A5:A217,0)-7)=""),"",B45-INDEX('Log Diário'!G5:G217,MATCH(A45,'Log Diário'!A5:A217,0)-7)),"")</f>
        <v/>
      </c>
      <c r="E45" s="26" t="str">
        <f t="shared" si="1"/>
        <v/>
      </c>
      <c r="F45" s="24" t="str">
        <f t="shared" si="2"/>
        <v/>
      </c>
    </row>
    <row r="46" ht="15.75" customHeight="1">
      <c r="A46" s="27">
        <v>46371.0</v>
      </c>
      <c r="B46" s="28" t="str">
        <f t="array" ref="B46">IFERROR(IF(INDEX('Log Diário'!G5:G217,MATCH(A46,'Log Diário'!A5:A217,0))="","",INDEX('Log Diário'!G5:G217,MATCH(A46,'Log Diário'!A5:A217,0))),"")</f>
        <v/>
      </c>
      <c r="C46" s="28">
        <v>3000000.0</v>
      </c>
      <c r="D46" s="29" t="str">
        <f t="array" ref="D46">IFERROR(IF(OR(B46="",INDEX('Log Diário'!G5:G217,MATCH(A46,'Log Diário'!A5:A217,0)-7)=""),"",B46-INDEX('Log Diário'!G5:G217,MATCH(A46,'Log Diário'!A5:A217,0)-7)),"")</f>
        <v/>
      </c>
      <c r="E46" s="30" t="str">
        <f t="shared" si="1"/>
        <v/>
      </c>
      <c r="F46" s="28" t="str">
        <f t="shared" si="2"/>
        <v/>
      </c>
    </row>
    <row r="47" ht="15.75" customHeight="1">
      <c r="A47" s="23">
        <v>46378.0</v>
      </c>
      <c r="B47" s="24" t="str">
        <f t="array" ref="B47">IFERROR(IF(INDEX('Log Diário'!G5:G217,MATCH(A47,'Log Diário'!A5:A217,0))="","",INDEX('Log Diário'!G5:G217,MATCH(A47,'Log Diário'!A5:A217,0))),"")</f>
        <v/>
      </c>
      <c r="C47" s="24">
        <v>3000000.0</v>
      </c>
      <c r="D47" s="25" t="str">
        <f t="array" ref="D47">IFERROR(IF(OR(B47="",INDEX('Log Diário'!G5:G217,MATCH(A47,'Log Diário'!A5:A217,0)-7)=""),"",B47-INDEX('Log Diário'!G5:G217,MATCH(A47,'Log Diário'!A5:A217,0)-7)),"")</f>
        <v/>
      </c>
      <c r="E47" s="26" t="str">
        <f t="shared" si="1"/>
        <v/>
      </c>
      <c r="F47" s="24" t="str">
        <f t="shared" si="2"/>
        <v/>
      </c>
    </row>
    <row r="48" ht="15.75" customHeight="1">
      <c r="A48" s="27">
        <v>46385.0</v>
      </c>
      <c r="B48" s="28" t="str">
        <f t="array" ref="B48">IFERROR(IF(INDEX('Log Diário'!G5:G217,MATCH(A48,'Log Diário'!A5:A217,0))="","",INDEX('Log Diário'!G5:G217,MATCH(A48,'Log Diário'!A5:A217,0))),"")</f>
        <v/>
      </c>
      <c r="C48" s="28">
        <v>3000000.0</v>
      </c>
      <c r="D48" s="29" t="str">
        <f t="array" ref="D48">IFERROR(IF(OR(B48="",INDEX('Log Diário'!G5:G217,MATCH(A48,'Log Diário'!A5:A217,0)-7)=""),"",B48-INDEX('Log Diário'!G5:G217,MATCH(A48,'Log Diário'!A5:A217,0)-7)),"")</f>
        <v/>
      </c>
      <c r="E48" s="30" t="str">
        <f t="shared" si="1"/>
        <v/>
      </c>
      <c r="F48" s="28" t="str">
        <f t="shared" si="2"/>
        <v/>
      </c>
    </row>
    <row r="49" ht="15.75" customHeight="1">
      <c r="A49" s="23">
        <v>46392.0</v>
      </c>
      <c r="B49" s="24" t="str">
        <f t="array" ref="B49">IFERROR(IF(INDEX('Log Diário'!G5:G217,MATCH(A49,'Log Diário'!A5:A217,0))="","",INDEX('Log Diário'!G5:G217,MATCH(A49,'Log Diário'!A5:A217,0))),"")</f>
        <v/>
      </c>
      <c r="C49" s="24">
        <v>3000000.0</v>
      </c>
      <c r="D49" s="25" t="str">
        <f t="array" ref="D49">IFERROR(IF(OR(B49="",INDEX('Log Diário'!G5:G217,MATCH(A49,'Log Diário'!A5:A217,0)-7)=""),"",B49-INDEX('Log Diário'!G5:G217,MATCH(A49,'Log Diário'!A5:A217,0)-7)),"")</f>
        <v/>
      </c>
      <c r="E49" s="26" t="str">
        <f t="shared" si="1"/>
        <v/>
      </c>
      <c r="F49" s="24" t="str">
        <f t="shared" si="2"/>
        <v/>
      </c>
    </row>
    <row r="50" ht="15.75" customHeight="1">
      <c r="A50" s="27">
        <v>46399.0</v>
      </c>
      <c r="B50" s="28" t="str">
        <f t="array" ref="B50">IFERROR(IF(INDEX('Log Diário'!G5:G217,MATCH(A50,'Log Diário'!A5:A217,0))="","",INDEX('Log Diário'!G5:G217,MATCH(A50,'Log Diário'!A5:A217,0))),"")</f>
        <v/>
      </c>
      <c r="C50" s="28">
        <v>3000000.0</v>
      </c>
      <c r="D50" s="29" t="str">
        <f t="array" ref="D50">IFERROR(IF(OR(B50="",INDEX('Log Diário'!G5:G217,MATCH(A50,'Log Diário'!A5:A217,0)-7)=""),"",B50-INDEX('Log Diário'!G5:G217,MATCH(A50,'Log Diário'!A5:A217,0)-7)),"")</f>
        <v/>
      </c>
      <c r="E50" s="30" t="str">
        <f t="shared" si="1"/>
        <v/>
      </c>
      <c r="F50" s="28" t="str">
        <f t="shared" si="2"/>
        <v/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7:F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5" width="15.0"/>
    <col customWidth="1" min="6" max="6" width="19.86"/>
    <col customWidth="1" min="7" max="26" width="8.71"/>
  </cols>
  <sheetData>
    <row r="1" ht="27.75" customHeight="1">
      <c r="A1" s="1" t="s">
        <v>37</v>
      </c>
      <c r="B1" s="2"/>
      <c r="C1" s="2"/>
      <c r="D1" s="2"/>
      <c r="E1" s="3"/>
    </row>
    <row r="3">
      <c r="A3" s="31" t="s">
        <v>38</v>
      </c>
    </row>
    <row r="4">
      <c r="A4" s="10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</row>
    <row r="5">
      <c r="A5" s="7" t="s">
        <v>8</v>
      </c>
      <c r="B5" s="14">
        <f>LOOKUP(9.99E+307,'Log Diário'!B5:B217)</f>
        <v>1538814</v>
      </c>
      <c r="C5" s="14">
        <f>'Log Diário'!B5</f>
        <v>1521064</v>
      </c>
      <c r="D5" s="16">
        <f t="shared" ref="D5:D10" si="1">B5-C5</f>
        <v>17750</v>
      </c>
      <c r="E5" s="32">
        <f t="shared" ref="E5:E9" si="2">IF(C5=0,"",D5/C5)</f>
        <v>0.01166946295</v>
      </c>
      <c r="F5" s="14">
        <f t="shared" ref="F5:F9" si="3">$H$5*(B5/$B$10)</f>
        <v>2047079.201</v>
      </c>
      <c r="H5" s="33">
        <v>4000000.0</v>
      </c>
    </row>
    <row r="6">
      <c r="A6" s="7" t="s">
        <v>9</v>
      </c>
      <c r="B6" s="14">
        <f>LOOKUP(9.99E+307,'Log Diário'!C5:C217)</f>
        <v>408600</v>
      </c>
      <c r="C6" s="14">
        <f>'Log Diário'!C5</f>
        <v>404326</v>
      </c>
      <c r="D6" s="16">
        <f t="shared" si="1"/>
        <v>4274</v>
      </c>
      <c r="E6" s="32">
        <f t="shared" si="2"/>
        <v>0.01057067812</v>
      </c>
      <c r="F6" s="14">
        <f t="shared" si="3"/>
        <v>543559.2355</v>
      </c>
    </row>
    <row r="7">
      <c r="A7" s="7" t="s">
        <v>10</v>
      </c>
      <c r="B7" s="14">
        <f>LOOKUP(9.99E+307,'Log Diário'!D5:D217)</f>
        <v>983823</v>
      </c>
      <c r="C7" s="14">
        <f>'Log Diário'!D5</f>
        <v>988295</v>
      </c>
      <c r="D7" s="16">
        <f t="shared" si="1"/>
        <v>-4472</v>
      </c>
      <c r="E7" s="32">
        <f t="shared" si="2"/>
        <v>-0.004524964712</v>
      </c>
      <c r="F7" s="14">
        <f t="shared" si="3"/>
        <v>1308776.5</v>
      </c>
    </row>
    <row r="8">
      <c r="A8" s="7" t="s">
        <v>11</v>
      </c>
      <c r="B8" s="14">
        <f>LOOKUP(9.99E+307,'Log Diário'!E5:E217)</f>
        <v>58240</v>
      </c>
      <c r="C8" s="14">
        <f>'Log Diário'!E5</f>
        <v>56858</v>
      </c>
      <c r="D8" s="16">
        <f t="shared" si="1"/>
        <v>1382</v>
      </c>
      <c r="E8" s="32">
        <f t="shared" si="2"/>
        <v>0.02430616624</v>
      </c>
      <c r="F8" s="14">
        <f t="shared" si="3"/>
        <v>77476.48035</v>
      </c>
    </row>
    <row r="9">
      <c r="A9" s="7" t="s">
        <v>12</v>
      </c>
      <c r="B9" s="14">
        <f>LOOKUP(9.99E+307,'Log Diário'!F5:F217)</f>
        <v>17371</v>
      </c>
      <c r="C9" s="14">
        <f>'Log Diário'!F5</f>
        <v>16824</v>
      </c>
      <c r="D9" s="16">
        <f t="shared" si="1"/>
        <v>547</v>
      </c>
      <c r="E9" s="32">
        <f t="shared" si="2"/>
        <v>0.03251307656</v>
      </c>
      <c r="F9" s="14">
        <f t="shared" si="3"/>
        <v>23108.58414</v>
      </c>
    </row>
    <row r="10">
      <c r="A10" s="35" t="s">
        <v>13</v>
      </c>
      <c r="B10" s="13">
        <f t="shared" ref="B10:C10" si="4">SUM(B5:B9)</f>
        <v>3006848</v>
      </c>
      <c r="C10" s="13">
        <f t="shared" si="4"/>
        <v>2987367</v>
      </c>
      <c r="D10" s="19">
        <f t="shared" si="1"/>
        <v>19481</v>
      </c>
      <c r="E10" s="18">
        <f>D10/C10</f>
        <v>0.006521127133</v>
      </c>
      <c r="F10" s="13">
        <f>H5</f>
        <v>4000000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31" t="s">
        <v>45</v>
      </c>
    </row>
    <row r="53" ht="15.75" customHeight="1">
      <c r="A53" s="36" t="s">
        <v>39</v>
      </c>
      <c r="B53" s="36" t="s">
        <v>40</v>
      </c>
      <c r="C53" s="36" t="s">
        <v>44</v>
      </c>
    </row>
    <row r="54" ht="15.75" customHeight="1">
      <c r="A54" s="37" t="s">
        <v>8</v>
      </c>
      <c r="B54" s="38">
        <f t="shared" ref="B54:B58" si="5">B5</f>
        <v>1538814</v>
      </c>
      <c r="C54" s="38">
        <f t="shared" ref="C54:C58" si="6">F5</f>
        <v>2047079.201</v>
      </c>
    </row>
    <row r="55" ht="15.75" customHeight="1">
      <c r="A55" s="37" t="s">
        <v>9</v>
      </c>
      <c r="B55" s="38">
        <f t="shared" si="5"/>
        <v>408600</v>
      </c>
      <c r="C55" s="38">
        <f t="shared" si="6"/>
        <v>543559.2355</v>
      </c>
    </row>
    <row r="56" ht="15.75" customHeight="1">
      <c r="A56" s="37" t="s">
        <v>10</v>
      </c>
      <c r="B56" s="38">
        <f t="shared" si="5"/>
        <v>983823</v>
      </c>
      <c r="C56" s="38">
        <f t="shared" si="6"/>
        <v>1308776.5</v>
      </c>
    </row>
    <row r="57" ht="15.75" customHeight="1">
      <c r="A57" s="37" t="s">
        <v>11</v>
      </c>
      <c r="B57" s="38">
        <f t="shared" si="5"/>
        <v>58240</v>
      </c>
      <c r="C57" s="38">
        <f t="shared" si="6"/>
        <v>77476.48035</v>
      </c>
    </row>
    <row r="58" ht="15.75" customHeight="1">
      <c r="A58" s="37" t="s">
        <v>12</v>
      </c>
      <c r="B58" s="38">
        <f t="shared" si="5"/>
        <v>17371</v>
      </c>
      <c r="C58" s="38">
        <f t="shared" si="6"/>
        <v>23108.58414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