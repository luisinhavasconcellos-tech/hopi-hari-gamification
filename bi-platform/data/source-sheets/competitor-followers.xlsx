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5"/>
    <sheet state="visible" name="COLETA" sheetId="2" r:id="rId6"/>
    <sheet state="visible" name="DASHBOARD" sheetId="3" r:id="rId7"/>
    <sheet state="visible" name="EVOLUÇÃO" sheetId="4" r:id="rId8"/>
  </sheets>
  <definedNames/>
  <calcPr/>
</workbook>
</file>

<file path=xl/sharedStrings.xml><?xml version="1.0" encoding="utf-8"?>
<sst xmlns="http://schemas.openxmlformats.org/spreadsheetml/2006/main" count="209" uniqueCount="100">
  <si>
    <t>HOPI HARI  ·  TRACKER SEMANAL DE SEGUIDORES</t>
  </si>
  <si>
    <t>COLETA SEMANAL DE SEGUIDORES</t>
  </si>
  <si>
    <t>DASHBOARD COMPETITIVO</t>
  </si>
  <si>
    <t>Inteligência Competitiva  ·  7 parques  ·  5 plataformas  ·  fechamento toda terça-feira</t>
  </si>
  <si>
    <t>Selecione a semana e todos os blocos recalculam automaticamente</t>
  </si>
  <si>
    <t>COMO PREENCHER (leva ~10 min por semana)</t>
  </si>
  <si>
    <t>SEMANA (terça):</t>
  </si>
  <si>
    <t>1.  Abra a aba COLETA. Cada linha é um par parque + plataforma; cada coluna é uma terça-feira.</t>
  </si>
  <si>
    <t>2.  Localize a coluna da terça-feira atual e preencha os 34 campos com o número de seguidores do dia.</t>
  </si>
  <si>
    <t>Preencha uma coluna por semana · apenas números inteiros · fechamento terça-feira</t>
  </si>
  <si>
    <t>3.  Digite apenas números inteiros, sem ponto, vírgula, 'mil' ou 'M'.  Ex.: 1250000  (não 1,25M).</t>
  </si>
  <si>
    <t>4.  Preencha a coluna PERFIL / URL uma única vez — ela fica fixa e serve de atalho na coleta.</t>
  </si>
  <si>
    <t>5.  Vá ao DASHBOARD e selecione a semana no menu suspenso. Tudo recalcula sozinho.</t>
  </si>
  <si>
    <t>6.  A aba EVOLUÇÃO mostra a série histórica completa e o gráfico de tendência.</t>
  </si>
  <si>
    <t>EXEMPLO DE PREENCHIMENTO — formato esperado</t>
  </si>
  <si>
    <t>PARQUE</t>
  </si>
  <si>
    <t>PLATAFORMA</t>
  </si>
  <si>
    <t>PERFIL / URL</t>
  </si>
  <si>
    <t>25/08/2026</t>
  </si>
  <si>
    <t>01/09/2026</t>
  </si>
  <si>
    <t>Hopi Hari</t>
  </si>
  <si>
    <t>Instagram</t>
  </si>
  <si>
    <t>Células claras = preencher.  Cinza = fora do índice.  Não insira nem apague linhas: o DASHBOARD depende desta ordem.</t>
  </si>
  <si>
    <t>@hopihari</t>
  </si>
  <si>
    <t>Beto Carrero World</t>
  </si>
  <si>
    <t>TikTok</t>
  </si>
  <si>
    <t>@betocarrerooficial</t>
  </si>
  <si>
    <t>Células em amarelo claro = você digita.  Células escuras = calculadas, não editar.</t>
  </si>
  <si>
    <t>◄ menu suspenso</t>
  </si>
  <si>
    <t>CONVENÇÕES METODOLÓGICAS</t>
  </si>
  <si>
    <t>índices →</t>
  </si>
  <si>
    <t>•  Fechamento semanal na TERÇA-FEIRA, mesma janela de horário toda semana (recomendado: até 12h).</t>
  </si>
  <si>
    <t>•  Metodologia ponto-a-ponto: comparação sempre entre a terça atual e a terça imediatamente anterior.</t>
  </si>
  <si>
    <t>•  Cacau Park · LinkedIn fica FORA do índice (perfil não elegível) — célula bloqueada em cinza.</t>
  </si>
  <si>
    <t>•  Total de seguidores = soma das 5 plataformas. Índice de concorrentes = soma dos 6 parques rivais.</t>
  </si>
  <si>
    <t>•  Semana sem coleta: deixe em branco (não digite 0) para não distorcer a variação.</t>
  </si>
  <si>
    <t>ABAS DESTE ARQUIVO</t>
  </si>
  <si>
    <t>COLETA        →  entrada de dados. É a única aba onde você digita.</t>
  </si>
  <si>
    <t>DASHBOARD     →  ranking, share do índice, variação semanal e detalhe por plataforma.</t>
  </si>
  <si>
    <t>EVOLUÇÃO      →  série histórica das 27 semanas + gráfico de tendência.</t>
  </si>
  <si>
    <t>Paleta aplicada: roxo #6C2BD9 e amarelo #FFC400 sobre base escura. Trocar por hex oficial é ajuste de 1 min.</t>
  </si>
  <si>
    <t>https://www.instagram.com/hopihari/</t>
  </si>
  <si>
    <t>RANKING GERAL  ·  TOTAL DE SEGUIDORES (5 PLATAFORMAS)</t>
  </si>
  <si>
    <t>SEMANA SELEC.</t>
  </si>
  <si>
    <t>SEMANA ANTERIOR</t>
  </si>
  <si>
    <t>Δ ABSOLUTO</t>
  </si>
  <si>
    <t>Δ %</t>
  </si>
  <si>
    <t>SHARE DO ÍNDICE</t>
  </si>
  <si>
    <t>POSIÇÃO</t>
  </si>
  <si>
    <t>https://www.tiktok.com/@hopihari</t>
  </si>
  <si>
    <t>Facebook</t>
  </si>
  <si>
    <t>https://www.facebook.com/HopiHari</t>
  </si>
  <si>
    <t>Beach Park</t>
  </si>
  <si>
    <t>YouTube</t>
  </si>
  <si>
    <t>https://www.youtube.com/@HopiHariOficial</t>
  </si>
  <si>
    <t>Hot Park</t>
  </si>
  <si>
    <t>LinkedIn</t>
  </si>
  <si>
    <t>https://www.linkedin.com/company/hopihari/?viewAsMember=true</t>
  </si>
  <si>
    <t>Cacau Park</t>
  </si>
  <si>
    <t>Wet'n Wild</t>
  </si>
  <si>
    <t>https://www.instagram.com/betocarrero/</t>
  </si>
  <si>
    <t>Thermas de São Pedro</t>
  </si>
  <si>
    <t>EVOLUÇÃO HISTÓRICA</t>
  </si>
  <si>
    <t>Total de seguidores por parque · 27 semanas · alimentado automaticamente pela aba COLETA</t>
  </si>
  <si>
    <t>TOTAL DO ÍNDICE</t>
  </si>
  <si>
    <t>https://www.tiktok.com/@betocarreroworld</t>
  </si>
  <si>
    <t>DETALHE POR PLATAFORMA  ·  SEMANA SELECIONADA</t>
  </si>
  <si>
    <t>https://www.facebook.com/betocarreroworld</t>
  </si>
  <si>
    <t>TOTAL</t>
  </si>
  <si>
    <t>https://www.youtube.com/@BetoCarreroWorldBR</t>
  </si>
  <si>
    <t>https://www.linkedin.com/company/beto-carrero-world/</t>
  </si>
  <si>
    <t>https://www.instagram.com/beachpark/</t>
  </si>
  <si>
    <t>https://www.tiktok.com/@beachpark?lang=en-GB</t>
  </si>
  <si>
    <t>https://www.facebook.com/BeachParkBrasil</t>
  </si>
  <si>
    <t>https://www.youtube.com/@beachpark</t>
  </si>
  <si>
    <t>https://www.linkedin.com/company/beach-park-hot-is-e-turismo-s-a/</t>
  </si>
  <si>
    <t>https://www.instagram.com/hotpark/</t>
  </si>
  <si>
    <t>https://www.tiktok.com/@hotpark?lang=en-GB</t>
  </si>
  <si>
    <t>https://www.facebook.com/hotpark</t>
  </si>
  <si>
    <t>VARIAÇÃO SEMANAL POR PLATAFORMA  ·  Δ vs. SEMANA ANTERIOR</t>
  </si>
  <si>
    <t>Δ TOTAL</t>
  </si>
  <si>
    <t>https://www.youtube.com/@hotpark</t>
  </si>
  <si>
    <t>-</t>
  </si>
  <si>
    <t>https://www.instagram.com/cacaupark/</t>
  </si>
  <si>
    <t>https://www.tiktok.com/@cacauparkofc?lang=en-GB</t>
  </si>
  <si>
    <t>https://www.facebook.com/profile.php?id=61569372817636</t>
  </si>
  <si>
    <t>https://www.youtube.com/@Cacau_Park</t>
  </si>
  <si>
    <t>https://www.instagram.com/wetnwildsp/</t>
  </si>
  <si>
    <t>https://www.tiktok.com/@wetnwildsp?lang=en-GB</t>
  </si>
  <si>
    <t>https://www.facebook.com/wetnwildsaopaulo</t>
  </si>
  <si>
    <t>https://www.youtube.com/@WetnWildoficial</t>
  </si>
  <si>
    <t>https://www.linkedin.com/company/wetnwild/</t>
  </si>
  <si>
    <t>https://www.instagram.com/thermasdesaopedro/</t>
  </si>
  <si>
    <t>https://www.tiktok.com/@thermasdesaopedrooficial?lang=en-GB</t>
  </si>
  <si>
    <t>https://www.facebook.com/thermasdesaopedrooficial</t>
  </si>
  <si>
    <t>https://www.youtube.com/@thermasdesaopedrooficial</t>
  </si>
  <si>
    <t>https://www.linkedin.com/company/thermasdesaopedro/</t>
  </si>
  <si>
    <t>Fonte: coleta manual semanal na aba COLETA (terça-feira). Cacau Park · LinkedIn excluído do índice.</t>
  </si>
  <si>
    <t>ÍNDICE CONCORRENTES (6)</t>
  </si>
  <si>
    <t>SHARE HOPI 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</si>
</sst>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-#,##0;\-"/>
    <numFmt numFmtId="165" formatCode="dd/mm/yyyy"/>
    <numFmt numFmtId="166" formatCode="\+#,##0;\-#,##0;\-"/>
    <numFmt numFmtId="167" formatCode="\+0.0%;\-0.0%;0.0%"/>
    <numFmt numFmtId="168" formatCode="0.0%"/>
    <numFmt numFmtId="169" formatCode="dd/mm"/>
  </numFmts>
  <fonts count="27">
    <font>
      <sz val="11.0"/>
      <color theme="1"/>
      <name val="Calibri"/>
      <scheme val="minor"/>
    </font>
    <font>
      <b/>
      <sz val="16.0"/>
      <color rgb="FFFFC400"/>
      <name val="Arial"/>
    </font>
    <font/>
    <font>
      <sz val="10.0"/>
      <color rgb="FF9AA3B2"/>
      <name val="Arial"/>
    </font>
    <font>
      <b/>
      <sz val="11.0"/>
      <color rgb="FFF2F4F8"/>
      <name val="Arial"/>
    </font>
    <font>
      <b/>
      <sz val="10.0"/>
      <color rgb="FFF2F4F8"/>
      <name val="Arial"/>
    </font>
    <font>
      <sz val="10.0"/>
      <color rgb="FF1A1F2B"/>
      <name val="Arial"/>
    </font>
    <font>
      <b/>
      <sz val="9.0"/>
      <color rgb="FFF2F4F8"/>
      <name val="Arial"/>
    </font>
    <font>
      <sz val="9.0"/>
      <color rgb="FF1A1F2B"/>
      <name val="Arial"/>
    </font>
    <font>
      <i/>
      <sz val="9.0"/>
      <color rgb="FF6B7280"/>
      <name val="Arial"/>
    </font>
    <font>
      <b/>
      <sz val="11.0"/>
      <color rgb="FF0F1117"/>
      <name val="Arial"/>
    </font>
    <font>
      <sz val="9.0"/>
      <color rgb="FF6B7280"/>
      <name val="Arial"/>
    </font>
    <font>
      <i/>
      <sz val="9.0"/>
      <color rgb="FF9AA3B2"/>
      <name val="Arial"/>
    </font>
    <font>
      <sz val="11.0"/>
      <color theme="1"/>
      <name val="Calibri"/>
    </font>
    <font>
      <sz val="8.0"/>
      <color rgb="FF6B7280"/>
      <name val="Arial"/>
    </font>
    <font>
      <sz val="9.0"/>
      <color rgb="FF9AA3B2"/>
      <name val="Arial"/>
    </font>
    <font>
      <sz val="8.0"/>
      <color rgb="FF9AA3B2"/>
      <name val="Arial"/>
    </font>
    <font>
      <b/>
      <sz val="9.0"/>
      <color rgb="FF0F1117"/>
      <name val="Arial"/>
    </font>
    <font>
      <sz val="9.0"/>
      <color rgb="FF4B5563"/>
      <name val="Arial"/>
    </font>
    <font>
      <b/>
      <sz val="9.0"/>
      <color rgb="FFFFC400"/>
      <name val="Arial"/>
    </font>
    <font>
      <u/>
      <sz val="9.0"/>
      <color rgb="FF0000FF"/>
      <name val="Arial"/>
    </font>
    <font>
      <sz val="9.0"/>
      <color rgb="FF0F1117"/>
      <name val="Arial"/>
    </font>
    <font>
      <u/>
      <sz val="9.0"/>
      <color rgb="FF0000FF"/>
      <name val="Arial"/>
    </font>
    <font>
      <sz val="9.0"/>
      <color rgb="FFF2F4F8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i/>
      <sz val="8.0"/>
      <color rgb="FF6B728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F1117"/>
        <bgColor rgb="FF0F1117"/>
      </patternFill>
    </fill>
    <fill>
      <patternFill patternType="solid">
        <fgColor rgb="FF6C2BD9"/>
        <bgColor rgb="FF6C2BD9"/>
      </patternFill>
    </fill>
    <fill>
      <patternFill patternType="solid">
        <fgColor rgb="FF232A38"/>
        <bgColor rgb="FF232A38"/>
      </patternFill>
    </fill>
    <fill>
      <patternFill patternType="solid">
        <fgColor rgb="FFFFFFFF"/>
        <bgColor rgb="FFFFFFFF"/>
      </patternFill>
    </fill>
    <fill>
      <patternFill patternType="solid">
        <fgColor rgb="FFFFF6D9"/>
        <bgColor rgb="FFFFF6D9"/>
      </patternFill>
    </fill>
    <fill>
      <patternFill patternType="solid">
        <fgColor rgb="FFFFC400"/>
        <bgColor rgb="FFFFC400"/>
      </patternFill>
    </fill>
    <fill>
      <patternFill patternType="solid">
        <fgColor rgb="FF3B1673"/>
        <bgColor rgb="FF3B1673"/>
      </patternFill>
    </fill>
    <fill>
      <patternFill patternType="solid">
        <fgColor rgb="FF1A1F2B"/>
        <bgColor rgb="FF1A1F2B"/>
      </patternFill>
    </fill>
    <fill>
      <patternFill patternType="solid">
        <fgColor rgb="FFF3F4F8"/>
        <bgColor rgb="FFF3F4F8"/>
      </patternFill>
    </fill>
    <fill>
      <patternFill patternType="solid">
        <fgColor rgb="FFD9DCE3"/>
        <bgColor rgb="FFD9DCE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</border>
    <border>
      <left style="thin">
        <color rgb="FF323A4A"/>
      </left>
      <right style="thin">
        <color rgb="FF323A4A"/>
      </right>
      <top style="thin">
        <color rgb="FF323A4A"/>
      </top>
      <bottom style="thin">
        <color rgb="FF323A4A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5" fillId="4" fontId="7" numFmtId="0" xfId="0" applyAlignment="1" applyBorder="1" applyFill="1" applyFont="1">
      <alignment horizontal="center" shrinkToFit="0" vertical="center" wrapText="0"/>
    </xf>
    <xf borderId="5" fillId="5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horizontal="left" shrinkToFit="0" vertical="center" wrapText="0"/>
    </xf>
    <xf borderId="5" fillId="6" fontId="8" numFmtId="164" xfId="0" applyAlignment="1" applyBorder="1" applyFill="1" applyFont="1" applyNumberFormat="1">
      <alignment horizontal="right" shrinkToFit="0" vertical="bottom" wrapText="0"/>
    </xf>
    <xf borderId="6" fillId="4" fontId="7" numFmtId="0" xfId="0" applyAlignment="1" applyBorder="1" applyFill="1" applyFont="1">
      <alignment horizontal="left" shrinkToFit="0" vertical="center" wrapText="0"/>
    </xf>
    <xf borderId="5" fillId="7" fontId="10" numFmtId="165" xfId="0" applyAlignment="1" applyBorder="1" applyFill="1" applyFont="1" applyNumberFormat="1">
      <alignment horizontal="center" readingOrder="0" shrinkToFit="0" vertical="center" wrapText="0"/>
    </xf>
    <xf borderId="6" fillId="3" fontId="7" numFmtId="165" xfId="0" applyAlignment="1" applyBorder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left" shrinkToFit="0" vertical="center" wrapText="0"/>
    </xf>
    <xf borderId="4" fillId="2" fontId="12" numFmtId="0" xfId="0" applyAlignment="1" applyBorder="1" applyFill="1" applyFont="1">
      <alignment shrinkToFit="0" vertical="bottom" wrapText="0"/>
    </xf>
    <xf borderId="6" fillId="8" fontId="7" numFmtId="165" xfId="0" applyAlignment="1" applyBorder="1" applyFill="1" applyFont="1" applyNumberFormat="1">
      <alignment horizontal="center" readingOrder="0" shrinkToFit="0" vertical="center" wrapText="0"/>
    </xf>
    <xf borderId="4" fillId="2" fontId="13" numFmtId="0" xfId="0" applyAlignment="1" applyBorder="1" applyFill="1" applyFont="1">
      <alignment shrinkToFit="0" vertical="bottom" wrapText="0"/>
    </xf>
    <xf borderId="4" fillId="2" fontId="14" numFmtId="0" xfId="0" applyAlignment="1" applyBorder="1" applyFill="1" applyFont="1">
      <alignment horizontal="right" shrinkToFit="0" vertical="bottom" wrapText="0"/>
    </xf>
    <xf borderId="6" fillId="3" fontId="7" numFmtId="165" xfId="0" applyAlignment="1" applyBorder="1" applyFill="1" applyFont="1" applyNumberFormat="1">
      <alignment horizontal="center" shrinkToFit="0" vertical="center" wrapText="0"/>
    </xf>
    <xf borderId="6" fillId="8" fontId="7" numFmtId="165" xfId="0" applyAlignment="1" applyBorder="1" applyFill="1" applyFont="1" applyNumberForma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4" fillId="2" fontId="16" numFmtId="0" xfId="0" applyAlignment="1" applyBorder="1" applyFill="1" applyFont="1">
      <alignment horizontal="right" shrinkToFit="0" vertical="bottom" wrapText="0"/>
    </xf>
    <xf borderId="5" fillId="6" fontId="17" numFmtId="0" xfId="0" applyAlignment="1" applyBorder="1" applyFill="1" applyFont="1">
      <alignment horizontal="left" shrinkToFit="0" vertical="center" wrapText="0"/>
    </xf>
    <xf borderId="5" fillId="6" fontId="18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ill="1" applyFont="1">
      <alignment horizontal="left" shrinkToFit="0" vertical="center" wrapText="0"/>
    </xf>
    <xf borderId="6" fillId="4" fontId="7" numFmtId="0" xfId="0" applyAlignment="1" applyBorder="1" applyFill="1" applyFont="1">
      <alignment horizontal="left" shrinkToFit="0" vertical="center" wrapText="1"/>
    </xf>
    <xf borderId="6" fillId="4" fontId="7" numFmtId="0" xfId="0" applyAlignment="1" applyBorder="1" applyFill="1" applyFont="1">
      <alignment horizontal="center" shrinkToFit="0" vertical="center" wrapText="1"/>
    </xf>
    <xf borderId="6" fillId="8" fontId="19" numFmtId="0" xfId="0" applyAlignment="1" applyBorder="1" applyFill="1" applyFont="1">
      <alignment horizontal="left" shrinkToFit="0" vertical="bottom" wrapText="0"/>
    </xf>
    <xf borderId="5" fillId="6" fontId="20" numFmtId="0" xfId="0" applyAlignment="1" applyBorder="1" applyFill="1" applyFont="1">
      <alignment horizontal="left" readingOrder="0" shrinkToFit="0" vertical="center" wrapText="1"/>
    </xf>
    <xf borderId="6" fillId="8" fontId="19" numFmtId="164" xfId="0" applyAlignment="1" applyBorder="1" applyFill="1" applyFont="1" applyNumberFormat="1">
      <alignment horizontal="right" shrinkToFit="0" vertical="bottom" wrapText="0"/>
    </xf>
    <xf borderId="5" fillId="6" fontId="21" numFmtId="164" xfId="0" applyAlignment="1" applyBorder="1" applyFill="1" applyFont="1" applyNumberFormat="1">
      <alignment horizontal="right" readingOrder="0" shrinkToFit="0" vertical="bottom" wrapText="0"/>
    </xf>
    <xf borderId="5" fillId="6" fontId="21" numFmtId="164" xfId="0" applyAlignment="1" applyBorder="1" applyFill="1" applyFont="1" applyNumberFormat="1">
      <alignment horizontal="right" shrinkToFit="0" vertical="bottom" wrapText="0"/>
    </xf>
    <xf borderId="6" fillId="8" fontId="19" numFmtId="166" xfId="0" applyAlignment="1" applyBorder="1" applyFill="1" applyFont="1" applyNumberFormat="1">
      <alignment horizontal="right" shrinkToFit="0" vertical="bottom" wrapText="0"/>
    </xf>
    <xf borderId="6" fillId="8" fontId="19" numFmtId="167" xfId="0" applyAlignment="1" applyBorder="1" applyFill="1" applyFont="1" applyNumberFormat="1">
      <alignment horizontal="right" shrinkToFit="0" vertical="bottom" wrapText="0"/>
    </xf>
    <xf borderId="6" fillId="8" fontId="19" numFmtId="168" xfId="0" applyAlignment="1" applyBorder="1" applyFill="1" applyFont="1" applyNumberFormat="1">
      <alignment horizontal="right" shrinkToFit="0" vertical="bottom" wrapText="0"/>
    </xf>
    <xf borderId="5" fillId="6" fontId="22" numFmtId="0" xfId="0" applyAlignment="1" applyBorder="1" applyFill="1" applyFont="1">
      <alignment horizontal="left" readingOrder="0" shrinkToFit="0" vertical="center" wrapText="0"/>
    </xf>
    <xf borderId="6" fillId="8" fontId="19" numFmtId="0" xfId="0" applyAlignment="1" applyBorder="1" applyFill="1" applyFont="1">
      <alignment horizontal="right" shrinkToFit="0" vertical="bottom" wrapText="0"/>
    </xf>
    <xf borderId="6" fillId="9" fontId="23" numFmtId="0" xfId="0" applyAlignment="1" applyBorder="1" applyFill="1" applyFont="1">
      <alignment horizontal="left" shrinkToFit="0" vertical="bottom" wrapText="0"/>
    </xf>
    <xf borderId="6" fillId="9" fontId="23" numFmtId="164" xfId="0" applyAlignment="1" applyBorder="1" applyFill="1" applyFont="1" applyNumberFormat="1">
      <alignment horizontal="right" shrinkToFit="0" vertical="bottom" wrapText="0"/>
    </xf>
    <xf borderId="6" fillId="9" fontId="23" numFmtId="166" xfId="0" applyAlignment="1" applyBorder="1" applyFill="1" applyFont="1" applyNumberFormat="1">
      <alignment horizontal="right" shrinkToFit="0" vertical="bottom" wrapText="0"/>
    </xf>
    <xf borderId="6" fillId="9" fontId="23" numFmtId="167" xfId="0" applyAlignment="1" applyBorder="1" applyFill="1" applyFont="1" applyNumberFormat="1">
      <alignment horizontal="right" shrinkToFit="0" vertical="bottom" wrapText="0"/>
    </xf>
    <xf borderId="6" fillId="9" fontId="23" numFmtId="168" xfId="0" applyAlignment="1" applyBorder="1" applyFill="1" applyFont="1" applyNumberFormat="1">
      <alignment horizontal="right" shrinkToFit="0" vertical="bottom" wrapText="0"/>
    </xf>
    <xf borderId="6" fillId="9" fontId="23" numFmtId="0" xfId="0" applyAlignment="1" applyBorder="1" applyFill="1" applyFont="1">
      <alignment horizontal="right" shrinkToFit="0" vertical="bottom" wrapText="0"/>
    </xf>
    <xf borderId="5" fillId="5" fontId="8" numFmtId="0" xfId="0" applyAlignment="1" applyBorder="1" applyFill="1" applyFont="1">
      <alignment horizontal="left" shrinkToFit="0" vertical="center" wrapText="0"/>
    </xf>
    <xf borderId="5" fillId="5" fontId="18" numFmtId="0" xfId="0" applyAlignment="1" applyBorder="1" applyFill="1" applyFont="1">
      <alignment horizontal="left" shrinkToFit="0" vertical="center" wrapText="0"/>
    </xf>
    <xf borderId="5" fillId="5" fontId="24" numFmtId="0" xfId="0" applyAlignment="1" applyBorder="1" applyFill="1" applyFont="1">
      <alignment horizontal="left" readingOrder="0" shrinkToFit="0" vertical="center" wrapText="1"/>
    </xf>
    <xf borderId="5" fillId="5" fontId="21" numFmtId="164" xfId="0" applyAlignment="1" applyBorder="1" applyFill="1" applyFont="1" applyNumberFormat="1">
      <alignment horizontal="right" readingOrder="0" shrinkToFit="0" vertical="bottom" wrapText="0"/>
    </xf>
    <xf borderId="6" fillId="4" fontId="19" numFmtId="0" xfId="0" applyAlignment="1" applyBorder="1" applyFill="1" applyFont="1">
      <alignment horizontal="left" shrinkToFit="0" vertical="bottom" wrapText="0"/>
    </xf>
    <xf borderId="5" fillId="5" fontId="21" numFmtId="164" xfId="0" applyAlignment="1" applyBorder="1" applyFill="1" applyFont="1" applyNumberFormat="1">
      <alignment horizontal="right" shrinkToFit="0" vertical="bottom" wrapText="0"/>
    </xf>
    <xf borderId="6" fillId="4" fontId="19" numFmtId="164" xfId="0" applyAlignment="1" applyBorder="1" applyFill="1" applyFont="1" applyNumberFormat="1">
      <alignment horizontal="right" shrinkToFit="0" vertical="bottom" wrapText="0"/>
    </xf>
    <xf borderId="6" fillId="4" fontId="19" numFmtId="166" xfId="0" applyAlignment="1" applyBorder="1" applyFill="1" applyFont="1" applyNumberFormat="1">
      <alignment horizontal="right" shrinkToFit="0" vertical="bottom" wrapText="0"/>
    </xf>
    <xf borderId="6" fillId="4" fontId="19" numFmtId="167" xfId="0" applyAlignment="1" applyBorder="1" applyFill="1" applyFont="1" applyNumberFormat="1">
      <alignment horizontal="right" shrinkToFit="0" vertical="bottom" wrapText="0"/>
    </xf>
    <xf borderId="6" fillId="3" fontId="7" numFmtId="169" xfId="0" applyAlignment="1" applyBorder="1" applyFill="1" applyFont="1" applyNumberFormat="1">
      <alignment horizontal="center" shrinkToFit="0" vertical="center" wrapText="0"/>
    </xf>
    <xf borderId="6" fillId="4" fontId="19" numFmtId="168" xfId="0" applyAlignment="1" applyBorder="1" applyFill="1" applyFont="1" applyNumberFormat="1">
      <alignment horizontal="right" shrinkToFit="0" vertical="bottom" wrapText="0"/>
    </xf>
    <xf borderId="6" fillId="4" fontId="19" numFmtId="0" xfId="0" applyAlignment="1" applyBorder="1" applyFill="1" applyFont="1">
      <alignment horizontal="right" shrinkToFit="0" vertical="bottom" wrapText="0"/>
    </xf>
    <xf borderId="6" fillId="8" fontId="7" numFmtId="169" xfId="0" applyAlignment="1" applyBorder="1" applyFill="1" applyFont="1" applyNumberFormat="1">
      <alignment horizontal="center" shrinkToFit="0" vertical="center" wrapText="0"/>
    </xf>
    <xf borderId="6" fillId="8" fontId="19" numFmtId="0" xfId="0" applyAlignment="1" applyBorder="1" applyFill="1" applyFont="1">
      <alignment horizontal="left" shrinkToFit="0" vertical="center" wrapText="0"/>
    </xf>
    <xf borderId="5" fillId="10" fontId="8" numFmtId="0" xfId="0" applyAlignment="1" applyBorder="1" applyFill="1" applyFont="1">
      <alignment horizontal="left" shrinkToFit="0" vertical="center" wrapText="0"/>
    </xf>
    <xf borderId="5" fillId="10" fontId="18" numFmtId="0" xfId="0" applyAlignment="1" applyBorder="1" applyFill="1" applyFont="1">
      <alignment horizontal="left" shrinkToFit="0" vertical="center" wrapText="0"/>
    </xf>
    <xf borderId="5" fillId="10" fontId="25" numFmtId="0" xfId="0" applyAlignment="1" applyBorder="1" applyFill="1" applyFont="1">
      <alignment horizontal="left" readingOrder="0" shrinkToFit="0" vertical="center" wrapText="1"/>
    </xf>
    <xf borderId="5" fillId="10" fontId="21" numFmtId="164" xfId="0" applyAlignment="1" applyBorder="1" applyFill="1" applyFont="1" applyNumberFormat="1">
      <alignment horizontal="right" readingOrder="0" shrinkToFit="0" vertical="bottom" wrapText="0"/>
    </xf>
    <xf borderId="5" fillId="10" fontId="21" numFmtId="164" xfId="0" applyAlignment="1" applyBorder="1" applyFill="1" applyFont="1" applyNumberFormat="1">
      <alignment horizontal="right" shrinkToFit="0" vertical="bottom" wrapText="0"/>
    </xf>
    <xf borderId="6" fillId="9" fontId="23" numFmtId="0" xfId="0" applyAlignment="1" applyBorder="1" applyFill="1" applyFont="1">
      <alignment horizontal="left" shrinkToFit="0" vertical="center" wrapText="0"/>
    </xf>
    <xf borderId="5" fillId="5" fontId="8" numFmtId="0" xfId="0" applyAlignment="1" applyBorder="1" applyFill="1" applyFont="1">
      <alignment horizontal="left" readingOrder="0" shrinkToFit="0" vertical="center" wrapText="0"/>
    </xf>
    <xf borderId="5" fillId="10" fontId="8" numFmtId="0" xfId="0" applyAlignment="1" applyBorder="1" applyFill="1" applyFont="1">
      <alignment horizontal="left" readingOrder="0" shrinkToFit="0" vertical="center" wrapText="0"/>
    </xf>
    <xf borderId="5" fillId="11" fontId="21" numFmtId="164" xfId="0" applyAlignment="1" applyBorder="1" applyFill="1" applyFont="1" applyNumberFormat="1">
      <alignment horizontal="right" readingOrder="0" shrinkToFit="0" vertical="bottom" wrapText="0"/>
    </xf>
    <xf borderId="5" fillId="11" fontId="21" numFmtId="164" xfId="0" applyAlignment="1" applyBorder="1" applyFill="1" applyFont="1" applyNumberFormat="1">
      <alignment horizontal="right" shrinkToFit="0" vertical="bottom" wrapText="0"/>
    </xf>
    <xf borderId="4" fillId="2" fontId="26" numFmtId="0" xfId="0" applyAlignment="1" applyBorder="1" applyFill="1" applyFont="1">
      <alignment shrinkToFit="0" vertical="bottom" wrapText="0"/>
    </xf>
    <xf borderId="6" fillId="4" fontId="7" numFmtId="164" xfId="0" applyAlignment="1" applyBorder="1" applyFill="1" applyFont="1" applyNumberFormat="1">
      <alignment horizontal="right" shrinkToFit="0" vertical="bottom" wrapText="0"/>
    </xf>
  </cellXfs>
  <cellStyles count="1">
    <cellStyle xfId="0" name="Normal" builtinId="0"/>
  </cellStyles>
  <dxfs count="2">
    <dxf>
      <font>
        <b/>
        <sz val="9.0"/>
        <color rgb="FF6EE7A8"/>
        <name val="Arial"/>
      </font>
      <fill>
        <patternFill patternType="none"/>
      </fill>
      <border/>
    </dxf>
    <dxf>
      <font>
        <b/>
        <sz val="9.0"/>
        <color rgb="FFFF7A7A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de seguidores por parque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Hopi Hari</c:v>
          </c:tx>
          <c:spPr>
            <a:ln cmpd="sng" w="19050">
              <a:solidFill>
                <a:srgbClr val="426FA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'EVOLUÇÃO'!$B$5:$AB$5</c:f>
              <c:numCache/>
            </c:numRef>
          </c:val>
          <c:smooth val="1"/>
        </c:ser>
        <c:ser>
          <c:idx val="1"/>
          <c:order val="1"/>
          <c:tx>
            <c:v>Beto Carrero World</c:v>
          </c:tx>
          <c:spPr>
            <a:ln cmpd="sng" w="19050">
              <a:solidFill>
                <a:srgbClr val="AA433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'EVOLUÇÃO'!$B$6:$AB$6</c:f>
              <c:numCache/>
            </c:numRef>
          </c:val>
          <c:smooth val="1"/>
        </c:ser>
        <c:ser>
          <c:idx val="2"/>
          <c:order val="2"/>
          <c:tx>
            <c:v>Beach Park</c:v>
          </c:tx>
          <c:spPr>
            <a:ln cmpd="sng" w="19050">
              <a:solidFill>
                <a:srgbClr val="87A44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'EVOLUÇÃO'!$B$7:$AB$7</c:f>
              <c:numCache/>
            </c:numRef>
          </c:val>
          <c:smooth val="1"/>
        </c:ser>
        <c:ser>
          <c:idx val="3"/>
          <c:order val="3"/>
          <c:tx>
            <c:v>Hot Park</c:v>
          </c:tx>
          <c:spPr>
            <a:ln cmpd="sng" w="19050">
              <a:solidFill>
                <a:srgbClr val="6F568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'EVOLUÇÃO'!$B$8:$AB$8</c:f>
              <c:numCache/>
            </c:numRef>
          </c:val>
          <c:smooth val="1"/>
        </c:ser>
        <c:ser>
          <c:idx val="4"/>
          <c:order val="4"/>
          <c:tx>
            <c:v>Cacau Park</c:v>
          </c:tx>
          <c:spPr>
            <a:ln cmpd="sng" w="19050">
              <a:solidFill>
                <a:srgbClr val="3D97A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'EVOLUÇÃO'!$B$9:$AB$9</c:f>
              <c:numCache/>
            </c:numRef>
          </c:val>
          <c:smooth val="1"/>
        </c:ser>
        <c:ser>
          <c:idx val="5"/>
          <c:order val="5"/>
          <c:tx>
            <c:v>Wet'n Wild</c:v>
          </c:tx>
          <c:spPr>
            <a:ln cmpd="sng" w="19050">
              <a:solidFill>
                <a:srgbClr val="DB823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'EVOLUÇÃO'!$B$10:$AB$10</c:f>
              <c:numCache/>
            </c:numRef>
          </c:val>
          <c:smooth val="1"/>
        </c:ser>
        <c:ser>
          <c:idx val="6"/>
          <c:order val="6"/>
          <c:tx>
            <c:v>Thermas de São Pedro</c:v>
          </c:tx>
          <c:spPr>
            <a:ln cmpd="sng" w="19050">
              <a:solidFill>
                <a:srgbClr val="8EA5C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'EVOLUÇÃO'!$B$4:$AB$4</c:f>
            </c:strRef>
          </c:cat>
          <c:val>
            <c:numRef>
              <c:f>'EVOLUÇÃO'!$B$11:$AB$11</c:f>
              <c:numCache/>
            </c:numRef>
          </c:val>
          <c:smooth val="1"/>
        </c:ser>
        <c:axId val="972311657"/>
        <c:axId val="1795848443"/>
      </c:lineChart>
      <c:catAx>
        <c:axId val="972311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5848443"/>
      </c:catAx>
      <c:valAx>
        <c:axId val="1795848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23116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102489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cacaupark/" TargetMode="External"/><Relationship Id="rId22" Type="http://schemas.openxmlformats.org/officeDocument/2006/relationships/hyperlink" Target="https://www.facebook.com/profile.php?id=61569372817636" TargetMode="External"/><Relationship Id="rId21" Type="http://schemas.openxmlformats.org/officeDocument/2006/relationships/hyperlink" Target="https://www.tiktok.com/@cacauparkofc?lang=en-GB" TargetMode="External"/><Relationship Id="rId24" Type="http://schemas.openxmlformats.org/officeDocument/2006/relationships/hyperlink" Target="https://www.instagram.com/wetnwildsp/" TargetMode="External"/><Relationship Id="rId23" Type="http://schemas.openxmlformats.org/officeDocument/2006/relationships/hyperlink" Target="https://www.youtube.com/@Cacau_Park" TargetMode="External"/><Relationship Id="rId1" Type="http://schemas.openxmlformats.org/officeDocument/2006/relationships/hyperlink" Target="https://www.instagram.com/hopihari/" TargetMode="External"/><Relationship Id="rId2" Type="http://schemas.openxmlformats.org/officeDocument/2006/relationships/hyperlink" Target="https://www.tiktok.com/@hopihari" TargetMode="External"/><Relationship Id="rId3" Type="http://schemas.openxmlformats.org/officeDocument/2006/relationships/hyperlink" Target="https://www.facebook.com/HopiHari/" TargetMode="External"/><Relationship Id="rId4" Type="http://schemas.openxmlformats.org/officeDocument/2006/relationships/hyperlink" Target="https://www.youtube.com/@HopiHariOficial" TargetMode="External"/><Relationship Id="rId9" Type="http://schemas.openxmlformats.org/officeDocument/2006/relationships/hyperlink" Target="https://www.youtube.com/@BetoCarreroWorldBR" TargetMode="External"/><Relationship Id="rId26" Type="http://schemas.openxmlformats.org/officeDocument/2006/relationships/hyperlink" Target="https://www.facebook.com/wetnwildsaopaulo" TargetMode="External"/><Relationship Id="rId25" Type="http://schemas.openxmlformats.org/officeDocument/2006/relationships/hyperlink" Target="https://www.tiktok.com/@wetnwildsp?lang=en-GB" TargetMode="External"/><Relationship Id="rId28" Type="http://schemas.openxmlformats.org/officeDocument/2006/relationships/hyperlink" Target="https://www.linkedin.com/company/wetnwild/" TargetMode="External"/><Relationship Id="rId27" Type="http://schemas.openxmlformats.org/officeDocument/2006/relationships/hyperlink" Target="https://www.youtube.com/@WetnWildoficial" TargetMode="External"/><Relationship Id="rId5" Type="http://schemas.openxmlformats.org/officeDocument/2006/relationships/hyperlink" Target="https://www.linkedin.com/company/hopihari/?viewAsMember=true" TargetMode="External"/><Relationship Id="rId6" Type="http://schemas.openxmlformats.org/officeDocument/2006/relationships/hyperlink" Target="https://www.instagram.com/betocarrero/" TargetMode="External"/><Relationship Id="rId29" Type="http://schemas.openxmlformats.org/officeDocument/2006/relationships/hyperlink" Target="https://www.instagram.com/thermasdesaopedro/" TargetMode="External"/><Relationship Id="rId7" Type="http://schemas.openxmlformats.org/officeDocument/2006/relationships/hyperlink" Target="https://www.tiktok.com/@betocarreroworld" TargetMode="External"/><Relationship Id="rId8" Type="http://schemas.openxmlformats.org/officeDocument/2006/relationships/hyperlink" Target="https://www.facebook.com/betocarreroworld" TargetMode="External"/><Relationship Id="rId31" Type="http://schemas.openxmlformats.org/officeDocument/2006/relationships/hyperlink" Target="https://www.facebook.com/thermasdesaopedrooficial" TargetMode="External"/><Relationship Id="rId30" Type="http://schemas.openxmlformats.org/officeDocument/2006/relationships/hyperlink" Target="https://www.tiktok.com/@thermasdesaopedrooficial?lang=en-GB" TargetMode="External"/><Relationship Id="rId11" Type="http://schemas.openxmlformats.org/officeDocument/2006/relationships/hyperlink" Target="https://www.instagram.com/beachpark/" TargetMode="External"/><Relationship Id="rId33" Type="http://schemas.openxmlformats.org/officeDocument/2006/relationships/hyperlink" Target="https://www.linkedin.com/company/thermasdesaopedro/" TargetMode="External"/><Relationship Id="rId10" Type="http://schemas.openxmlformats.org/officeDocument/2006/relationships/hyperlink" Target="https://www.linkedin.com/company/beto-carrero-world/" TargetMode="External"/><Relationship Id="rId32" Type="http://schemas.openxmlformats.org/officeDocument/2006/relationships/hyperlink" Target="https://www.youtube.com/@thermasdesaopedrooficial" TargetMode="External"/><Relationship Id="rId13" Type="http://schemas.openxmlformats.org/officeDocument/2006/relationships/hyperlink" Target="https://www.facebook.com/BeachParkBrasil" TargetMode="External"/><Relationship Id="rId12" Type="http://schemas.openxmlformats.org/officeDocument/2006/relationships/hyperlink" Target="https://www.tiktok.com/@beachpark?lang=en-GB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linkedin.com/company/beach-park-hot-is-e-turismo-s-a/" TargetMode="External"/><Relationship Id="rId14" Type="http://schemas.openxmlformats.org/officeDocument/2006/relationships/hyperlink" Target="https://www.youtube.com/@beachpark" TargetMode="External"/><Relationship Id="rId17" Type="http://schemas.openxmlformats.org/officeDocument/2006/relationships/hyperlink" Target="https://www.tiktok.com/@hotpark?lang=en-GB" TargetMode="External"/><Relationship Id="rId16" Type="http://schemas.openxmlformats.org/officeDocument/2006/relationships/hyperlink" Target="https://www.instagram.com/hotpark/" TargetMode="External"/><Relationship Id="rId19" Type="http://schemas.openxmlformats.org/officeDocument/2006/relationships/hyperlink" Target="https://www.youtube.com/@hotpark" TargetMode="External"/><Relationship Id="rId18" Type="http://schemas.openxmlformats.org/officeDocument/2006/relationships/hyperlink" Target="https://www.facebook.com/hotpar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7" width="22.0"/>
    <col customWidth="1" min="8" max="8" width="3.0"/>
    <col customWidth="1" min="9" max="26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3</v>
      </c>
      <c r="B2" s="2"/>
      <c r="C2" s="2"/>
      <c r="D2" s="2"/>
      <c r="E2" s="2"/>
      <c r="F2" s="2"/>
      <c r="G2" s="2"/>
      <c r="H2" s="3"/>
    </row>
    <row r="4" ht="24.0" customHeight="1">
      <c r="B4" s="5" t="s">
        <v>5</v>
      </c>
      <c r="C4" s="2"/>
      <c r="D4" s="2"/>
      <c r="E4" s="2"/>
      <c r="F4" s="2"/>
      <c r="G4" s="3"/>
    </row>
    <row r="5">
      <c r="B5" s="7" t="s">
        <v>7</v>
      </c>
    </row>
    <row r="6">
      <c r="B6" s="7" t="s">
        <v>8</v>
      </c>
    </row>
    <row r="7">
      <c r="B7" s="7" t="s">
        <v>10</v>
      </c>
    </row>
    <row r="8">
      <c r="B8" s="7" t="s">
        <v>11</v>
      </c>
    </row>
    <row r="9">
      <c r="B9" s="7" t="s">
        <v>12</v>
      </c>
    </row>
    <row r="10">
      <c r="B10" s="7" t="s">
        <v>13</v>
      </c>
    </row>
    <row r="12" ht="24.0" customHeight="1">
      <c r="B12" s="5" t="s">
        <v>14</v>
      </c>
      <c r="C12" s="2"/>
      <c r="D12" s="2"/>
      <c r="E12" s="2"/>
      <c r="F12" s="2"/>
      <c r="G12" s="3"/>
    </row>
    <row r="13">
      <c r="B13" s="8" t="s">
        <v>15</v>
      </c>
      <c r="C13" s="8" t="s">
        <v>16</v>
      </c>
      <c r="D13" s="8" t="s">
        <v>17</v>
      </c>
      <c r="E13" s="8" t="s">
        <v>18</v>
      </c>
      <c r="F13" s="8" t="s">
        <v>19</v>
      </c>
    </row>
    <row r="14">
      <c r="B14" s="9" t="s">
        <v>20</v>
      </c>
      <c r="C14" s="9" t="s">
        <v>21</v>
      </c>
      <c r="D14" s="9" t="s">
        <v>23</v>
      </c>
      <c r="E14" s="11">
        <v>1284500.0</v>
      </c>
      <c r="F14" s="11">
        <v>1291300.0</v>
      </c>
    </row>
    <row r="15">
      <c r="B15" s="9" t="s">
        <v>24</v>
      </c>
      <c r="C15" s="9" t="s">
        <v>25</v>
      </c>
      <c r="D15" s="9" t="s">
        <v>26</v>
      </c>
      <c r="E15" s="11">
        <v>892100.0</v>
      </c>
      <c r="F15" s="11">
        <v>895740.0</v>
      </c>
    </row>
    <row r="16">
      <c r="B16" s="15" t="s">
        <v>27</v>
      </c>
    </row>
    <row r="18" ht="24.0" customHeight="1">
      <c r="B18" s="5" t="s">
        <v>29</v>
      </c>
      <c r="C18" s="2"/>
      <c r="D18" s="2"/>
      <c r="E18" s="2"/>
      <c r="F18" s="2"/>
      <c r="G18" s="3"/>
    </row>
    <row r="19">
      <c r="B19" s="7" t="s">
        <v>31</v>
      </c>
    </row>
    <row r="20">
      <c r="B20" s="7" t="s">
        <v>32</v>
      </c>
    </row>
    <row r="21" ht="15.75" customHeight="1">
      <c r="B21" s="7" t="s">
        <v>33</v>
      </c>
    </row>
    <row r="22" ht="15.75" customHeight="1">
      <c r="B22" s="7" t="s">
        <v>34</v>
      </c>
    </row>
    <row r="23" ht="15.75" customHeight="1">
      <c r="B23" s="7" t="s">
        <v>35</v>
      </c>
    </row>
    <row r="24" ht="15.75" customHeight="1"/>
    <row r="25" ht="24.0" customHeight="1">
      <c r="B25" s="5" t="s">
        <v>36</v>
      </c>
      <c r="C25" s="2"/>
      <c r="D25" s="2"/>
      <c r="E25" s="2"/>
      <c r="F25" s="2"/>
      <c r="G25" s="3"/>
    </row>
    <row r="26" ht="15.75" customHeight="1">
      <c r="B26" s="7" t="s">
        <v>37</v>
      </c>
    </row>
    <row r="27" ht="15.75" customHeight="1">
      <c r="B27" s="7" t="s">
        <v>38</v>
      </c>
    </row>
    <row r="28" ht="15.75" customHeight="1">
      <c r="B28" s="7" t="s">
        <v>39</v>
      </c>
    </row>
    <row r="29" ht="15.75" customHeight="1"/>
    <row r="30" ht="15.75" customHeight="1"/>
    <row r="31" ht="15.75" customHeight="1">
      <c r="B31" s="22" t="s">
        <v>40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:H2"/>
    <mergeCell ref="B4:G4"/>
    <mergeCell ref="B5:G5"/>
    <mergeCell ref="B6:G6"/>
    <mergeCell ref="B7:G7"/>
    <mergeCell ref="B8:G8"/>
    <mergeCell ref="B21:G21"/>
    <mergeCell ref="B22:G22"/>
    <mergeCell ref="B23:G23"/>
    <mergeCell ref="B25:G25"/>
    <mergeCell ref="B26:G26"/>
    <mergeCell ref="B27:G27"/>
    <mergeCell ref="B28:G28"/>
    <mergeCell ref="B31:G31"/>
    <mergeCell ref="B9:G9"/>
    <mergeCell ref="B10:G10"/>
    <mergeCell ref="B12:G12"/>
    <mergeCell ref="B16:G16"/>
    <mergeCell ref="B18:G18"/>
    <mergeCell ref="B19:G19"/>
    <mergeCell ref="B20:G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22.0"/>
    <col customWidth="1" min="2" max="2" width="13.0"/>
    <col customWidth="1" min="3" max="3" width="26.0"/>
    <col customWidth="1" min="4" max="30" width="12.0"/>
  </cols>
  <sheetData>
    <row r="1" ht="42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19.5" customHeight="1">
      <c r="A2" s="4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>
      <c r="A3" s="10" t="s">
        <v>22</v>
      </c>
    </row>
    <row r="4" ht="25.5" customHeight="1">
      <c r="A4" s="12" t="s">
        <v>15</v>
      </c>
      <c r="B4" s="12" t="s">
        <v>16</v>
      </c>
      <c r="C4" s="12" t="s">
        <v>17</v>
      </c>
      <c r="D4" s="14">
        <v>46257.0</v>
      </c>
      <c r="E4" s="17">
        <v>46263.0</v>
      </c>
      <c r="F4" s="14">
        <v>46271.0</v>
      </c>
      <c r="G4" s="17">
        <v>46278.0</v>
      </c>
      <c r="H4" s="14">
        <v>46285.0</v>
      </c>
      <c r="I4" s="17">
        <v>46292.0</v>
      </c>
      <c r="J4" s="14">
        <v>46299.0</v>
      </c>
      <c r="K4" s="17">
        <v>46306.0</v>
      </c>
      <c r="L4" s="20">
        <v>46315.0</v>
      </c>
      <c r="M4" s="21">
        <v>46322.0</v>
      </c>
      <c r="N4" s="20">
        <v>46329.0</v>
      </c>
      <c r="O4" s="21">
        <v>46336.0</v>
      </c>
      <c r="P4" s="20">
        <v>46343.0</v>
      </c>
      <c r="Q4" s="21">
        <v>46350.0</v>
      </c>
      <c r="R4" s="20">
        <v>46357.0</v>
      </c>
      <c r="S4" s="21">
        <v>46364.0</v>
      </c>
      <c r="T4" s="20">
        <v>46371.0</v>
      </c>
      <c r="U4" s="21">
        <v>46378.0</v>
      </c>
      <c r="V4" s="20">
        <v>46385.0</v>
      </c>
      <c r="W4" s="21">
        <v>46392.0</v>
      </c>
      <c r="X4" s="20">
        <v>46399.0</v>
      </c>
      <c r="Y4" s="21">
        <v>46406.0</v>
      </c>
      <c r="Z4" s="20">
        <v>46413.0</v>
      </c>
      <c r="AA4" s="21">
        <v>46420.0</v>
      </c>
      <c r="AB4" s="20">
        <v>46427.0</v>
      </c>
      <c r="AC4" s="21">
        <v>46434.0</v>
      </c>
      <c r="AD4" s="20">
        <v>46441.0</v>
      </c>
    </row>
    <row r="5">
      <c r="A5" s="24" t="s">
        <v>20</v>
      </c>
      <c r="B5" s="25" t="s">
        <v>21</v>
      </c>
      <c r="C5" s="30" t="s">
        <v>41</v>
      </c>
      <c r="D5" s="32">
        <v>1538814.0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24" t="s">
        <v>20</v>
      </c>
      <c r="B6" s="25" t="s">
        <v>25</v>
      </c>
      <c r="C6" s="37" t="s">
        <v>49</v>
      </c>
      <c r="D6" s="32">
        <v>408600.0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24" t="s">
        <v>20</v>
      </c>
      <c r="B7" s="25" t="s">
        <v>50</v>
      </c>
      <c r="C7" s="30" t="s">
        <v>51</v>
      </c>
      <c r="D7" s="32">
        <v>983823.0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24" t="s">
        <v>20</v>
      </c>
      <c r="B8" s="25" t="s">
        <v>53</v>
      </c>
      <c r="C8" s="30" t="s">
        <v>54</v>
      </c>
      <c r="D8" s="32">
        <v>58240.0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24" t="s">
        <v>20</v>
      </c>
      <c r="B9" s="25" t="s">
        <v>56</v>
      </c>
      <c r="C9" s="30" t="s">
        <v>57</v>
      </c>
      <c r="D9" s="32">
        <v>17371.0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45" t="s">
        <v>24</v>
      </c>
      <c r="B10" s="46" t="s">
        <v>21</v>
      </c>
      <c r="C10" s="47" t="s">
        <v>60</v>
      </c>
      <c r="D10" s="48">
        <v>4900000.0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>
      <c r="A11" s="45" t="s">
        <v>24</v>
      </c>
      <c r="B11" s="46" t="s">
        <v>25</v>
      </c>
      <c r="C11" s="47" t="s">
        <v>65</v>
      </c>
      <c r="D11" s="48">
        <v>3800000.0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>
      <c r="A12" s="45" t="s">
        <v>24</v>
      </c>
      <c r="B12" s="46" t="s">
        <v>50</v>
      </c>
      <c r="C12" s="47" t="s">
        <v>67</v>
      </c>
      <c r="D12" s="48">
        <v>3700000.0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</row>
    <row r="13">
      <c r="A13" s="45" t="s">
        <v>24</v>
      </c>
      <c r="B13" s="46" t="s">
        <v>53</v>
      </c>
      <c r="C13" s="47" t="s">
        <v>69</v>
      </c>
      <c r="D13" s="48">
        <v>644000.0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</row>
    <row r="14">
      <c r="A14" s="45" t="s">
        <v>24</v>
      </c>
      <c r="B14" s="46" t="s">
        <v>56</v>
      </c>
      <c r="C14" s="47" t="s">
        <v>70</v>
      </c>
      <c r="D14" s="48">
        <v>31000.0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</row>
    <row r="15">
      <c r="A15" s="59" t="s">
        <v>52</v>
      </c>
      <c r="B15" s="60" t="s">
        <v>21</v>
      </c>
      <c r="C15" s="61" t="s">
        <v>71</v>
      </c>
      <c r="D15" s="62">
        <v>2300000.0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>
      <c r="A16" s="59" t="s">
        <v>52</v>
      </c>
      <c r="B16" s="60" t="s">
        <v>25</v>
      </c>
      <c r="C16" s="61" t="s">
        <v>72</v>
      </c>
      <c r="D16" s="62">
        <v>442100.0</v>
      </c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</row>
    <row r="17">
      <c r="A17" s="59" t="s">
        <v>52</v>
      </c>
      <c r="B17" s="60" t="s">
        <v>50</v>
      </c>
      <c r="C17" s="61" t="s">
        <v>73</v>
      </c>
      <c r="D17" s="62">
        <v>2000000.0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</row>
    <row r="18">
      <c r="A18" s="59" t="s">
        <v>52</v>
      </c>
      <c r="B18" s="60" t="s">
        <v>53</v>
      </c>
      <c r="C18" s="61" t="s">
        <v>74</v>
      </c>
      <c r="D18" s="62">
        <v>186000.0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</row>
    <row r="19">
      <c r="A19" s="59" t="s">
        <v>52</v>
      </c>
      <c r="B19" s="60" t="s">
        <v>56</v>
      </c>
      <c r="C19" s="61" t="s">
        <v>75</v>
      </c>
      <c r="D19" s="62">
        <v>66000.0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>
      <c r="A20" s="45" t="s">
        <v>55</v>
      </c>
      <c r="B20" s="46" t="s">
        <v>21</v>
      </c>
      <c r="C20" s="47" t="s">
        <v>76</v>
      </c>
      <c r="D20" s="48">
        <v>1000000.0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</row>
    <row r="21" ht="15.75" customHeight="1">
      <c r="A21" s="45" t="s">
        <v>55</v>
      </c>
      <c r="B21" s="46" t="s">
        <v>25</v>
      </c>
      <c r="C21" s="47" t="s">
        <v>77</v>
      </c>
      <c r="D21" s="48">
        <v>250000.0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ht="15.75" customHeight="1">
      <c r="A22" s="45" t="s">
        <v>55</v>
      </c>
      <c r="B22" s="46" t="s">
        <v>50</v>
      </c>
      <c r="C22" s="47" t="s">
        <v>78</v>
      </c>
      <c r="D22" s="48">
        <v>665000.0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ht="15.75" customHeight="1">
      <c r="A23" s="45" t="s">
        <v>55</v>
      </c>
      <c r="B23" s="46" t="s">
        <v>53</v>
      </c>
      <c r="C23" s="47" t="s">
        <v>81</v>
      </c>
      <c r="D23" s="48">
        <v>18300.0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ht="15.75" customHeight="1">
      <c r="A24" s="45" t="s">
        <v>55</v>
      </c>
      <c r="B24" s="46" t="s">
        <v>56</v>
      </c>
      <c r="C24" s="65" t="s">
        <v>82</v>
      </c>
      <c r="D24" s="48">
        <v>1.0</v>
      </c>
      <c r="E24" s="48">
        <v>0.0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ht="15.75" customHeight="1">
      <c r="A25" s="59" t="s">
        <v>58</v>
      </c>
      <c r="B25" s="60" t="s">
        <v>21</v>
      </c>
      <c r="C25" s="61" t="s">
        <v>83</v>
      </c>
      <c r="D25" s="62">
        <v>586000.0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ht="15.75" customHeight="1">
      <c r="A26" s="59" t="s">
        <v>58</v>
      </c>
      <c r="B26" s="60" t="s">
        <v>25</v>
      </c>
      <c r="C26" s="61" t="s">
        <v>84</v>
      </c>
      <c r="D26" s="62">
        <v>95400.0</v>
      </c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  <row r="27" ht="15.75" customHeight="1">
      <c r="A27" s="59" t="s">
        <v>58</v>
      </c>
      <c r="B27" s="60" t="s">
        <v>50</v>
      </c>
      <c r="C27" s="61" t="s">
        <v>85</v>
      </c>
      <c r="D27" s="62">
        <v>54000.0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ht="15.75" customHeight="1">
      <c r="A28" s="59" t="s">
        <v>58</v>
      </c>
      <c r="B28" s="60" t="s">
        <v>53</v>
      </c>
      <c r="C28" s="61" t="s">
        <v>86</v>
      </c>
      <c r="D28" s="62">
        <v>10200.0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ht="15.75" customHeight="1">
      <c r="A29" s="59" t="s">
        <v>58</v>
      </c>
      <c r="B29" s="60" t="s">
        <v>56</v>
      </c>
      <c r="C29" s="66" t="s">
        <v>82</v>
      </c>
      <c r="D29" s="67">
        <v>1.0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</row>
    <row r="30" ht="15.75" customHeight="1">
      <c r="A30" s="45" t="s">
        <v>59</v>
      </c>
      <c r="B30" s="46" t="s">
        <v>21</v>
      </c>
      <c r="C30" s="47" t="s">
        <v>87</v>
      </c>
      <c r="D30" s="48">
        <v>629000.0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5.75" customHeight="1">
      <c r="A31" s="45" t="s">
        <v>59</v>
      </c>
      <c r="B31" s="46" t="s">
        <v>25</v>
      </c>
      <c r="C31" s="47" t="s">
        <v>88</v>
      </c>
      <c r="D31" s="48">
        <v>50000.0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</row>
    <row r="32" ht="15.75" customHeight="1">
      <c r="A32" s="45" t="s">
        <v>59</v>
      </c>
      <c r="B32" s="46" t="s">
        <v>50</v>
      </c>
      <c r="C32" s="47" t="s">
        <v>89</v>
      </c>
      <c r="D32" s="48">
        <v>464000.0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 ht="15.75" customHeight="1">
      <c r="A33" s="45" t="s">
        <v>59</v>
      </c>
      <c r="B33" s="46" t="s">
        <v>53</v>
      </c>
      <c r="C33" s="47" t="s">
        <v>90</v>
      </c>
      <c r="D33" s="48">
        <v>11000.0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</row>
    <row r="34" ht="15.75" customHeight="1">
      <c r="A34" s="45" t="s">
        <v>59</v>
      </c>
      <c r="B34" s="46" t="s">
        <v>56</v>
      </c>
      <c r="C34" s="47" t="s">
        <v>91</v>
      </c>
      <c r="D34" s="48">
        <v>11000.0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</row>
    <row r="35" ht="15.75" customHeight="1">
      <c r="A35" s="59" t="s">
        <v>61</v>
      </c>
      <c r="B35" s="60" t="s">
        <v>21</v>
      </c>
      <c r="C35" s="61" t="s">
        <v>92</v>
      </c>
      <c r="D35" s="62">
        <v>1100000.0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</row>
    <row r="36" ht="15.75" customHeight="1">
      <c r="A36" s="59" t="s">
        <v>61</v>
      </c>
      <c r="B36" s="60" t="s">
        <v>25</v>
      </c>
      <c r="C36" s="61" t="s">
        <v>93</v>
      </c>
      <c r="D36" s="62">
        <v>142800.0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</row>
    <row r="37" ht="15.75" customHeight="1">
      <c r="A37" s="59" t="s">
        <v>61</v>
      </c>
      <c r="B37" s="60" t="s">
        <v>50</v>
      </c>
      <c r="C37" s="61" t="s">
        <v>94</v>
      </c>
      <c r="D37" s="62">
        <v>675000.0</v>
      </c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</row>
    <row r="38" ht="15.75" customHeight="1">
      <c r="A38" s="59" t="s">
        <v>61</v>
      </c>
      <c r="B38" s="60" t="s">
        <v>53</v>
      </c>
      <c r="C38" s="61" t="s">
        <v>95</v>
      </c>
      <c r="D38" s="62">
        <v>7800.0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</row>
    <row r="39" ht="15.75" customHeight="1">
      <c r="A39" s="59" t="s">
        <v>61</v>
      </c>
      <c r="B39" s="60" t="s">
        <v>56</v>
      </c>
      <c r="C39" s="61" t="s">
        <v>96</v>
      </c>
      <c r="D39" s="62">
        <v>10000.0</v>
      </c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D1"/>
    <mergeCell ref="A2:AD2"/>
    <mergeCell ref="A3:AD3"/>
  </mergeCells>
  <dataValidations>
    <dataValidation type="decimal" operator="greaterThanOrEqual" allowBlank="1" showInputMessage="1" showErrorMessage="1" prompt="Formato inválido - Digite apenas números inteiros, sem ponto, vírgula ou abreviação (ex.: 1250000)." sqref="D5:AD39">
      <formula1>0.0</formula1>
    </dataValidation>
  </dataValidation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5"/>
    <hyperlink r:id="rId21" ref="C26"/>
    <hyperlink r:id="rId22" ref="C27"/>
    <hyperlink r:id="rId23" ref="C28"/>
    <hyperlink r:id="rId24" ref="C30"/>
    <hyperlink r:id="rId25" ref="C31"/>
    <hyperlink r:id="rId26" ref="C32"/>
    <hyperlink r:id="rId27" ref="C33"/>
    <hyperlink r:id="rId28" ref="C34"/>
    <hyperlink r:id="rId29" ref="C35"/>
    <hyperlink r:id="rId30" ref="C36"/>
    <hyperlink r:id="rId31" ref="C37"/>
    <hyperlink r:id="rId32" ref="C38"/>
    <hyperlink r:id="rId33" ref="C39"/>
  </hyperlinks>
  <printOptions/>
  <pageMargins bottom="1.0" footer="0.0" header="0.0" left="0.75" right="0.75" top="1.0"/>
  <pageSetup paperSize="9" orientation="portrait"/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15.0"/>
    <col customWidth="1" min="4" max="4" width="13.0"/>
    <col customWidth="1" min="5" max="5" width="11.0"/>
    <col customWidth="1" min="6" max="6" width="13.0"/>
    <col customWidth="1" min="7" max="7" width="11.0"/>
    <col customWidth="1" min="8" max="8" width="14.0"/>
    <col customWidth="1" min="9" max="26" width="8.71"/>
  </cols>
  <sheetData>
    <row r="1" ht="42.0" customHeight="1">
      <c r="A1" s="1" t="s">
        <v>2</v>
      </c>
      <c r="B1" s="2"/>
      <c r="C1" s="2"/>
      <c r="D1" s="2"/>
      <c r="E1" s="2"/>
      <c r="F1" s="2"/>
      <c r="G1" s="2"/>
      <c r="H1" s="3"/>
    </row>
    <row r="2" ht="19.5" customHeight="1">
      <c r="A2" s="4" t="s">
        <v>4</v>
      </c>
      <c r="B2" s="2"/>
      <c r="C2" s="2"/>
      <c r="D2" s="2"/>
      <c r="E2" s="2"/>
      <c r="F2" s="2"/>
      <c r="G2" s="2"/>
      <c r="H2" s="3"/>
    </row>
    <row r="3" ht="24.0" customHeight="1">
      <c r="A3" s="6" t="s">
        <v>6</v>
      </c>
      <c r="B3" s="13">
        <v>46257.0</v>
      </c>
      <c r="C3" s="16" t="s">
        <v>28</v>
      </c>
      <c r="D3" s="18"/>
      <c r="E3" s="18"/>
      <c r="F3" s="18"/>
      <c r="G3" s="18"/>
      <c r="H3" s="19" t="s">
        <v>30</v>
      </c>
    </row>
    <row r="4">
      <c r="A4" s="18"/>
      <c r="B4" s="18"/>
      <c r="C4" s="18"/>
      <c r="D4" s="18"/>
      <c r="E4" s="18"/>
      <c r="F4" s="18"/>
      <c r="G4" s="18"/>
      <c r="H4" s="23">
        <f>IFERROR(MATCH($B$3,COLETA!$D$4:$AD$4,0),1)</f>
        <v>1</v>
      </c>
    </row>
    <row r="5">
      <c r="A5" s="18"/>
      <c r="B5" s="18"/>
      <c r="C5" s="18"/>
      <c r="D5" s="18"/>
      <c r="E5" s="18"/>
      <c r="F5" s="18"/>
      <c r="G5" s="18"/>
      <c r="H5" s="23" t="str">
        <f>IF($H$4&gt;1,$H$4-1,"")</f>
        <v/>
      </c>
    </row>
    <row r="6">
      <c r="A6" s="18"/>
      <c r="B6" s="18"/>
      <c r="C6" s="18"/>
      <c r="D6" s="18"/>
      <c r="E6" s="18"/>
      <c r="F6" s="18"/>
      <c r="G6" s="18"/>
      <c r="H6" s="18"/>
    </row>
    <row r="7" ht="21.75" customHeight="1">
      <c r="A7" s="26" t="s">
        <v>42</v>
      </c>
      <c r="B7" s="2"/>
      <c r="C7" s="2"/>
      <c r="D7" s="2"/>
      <c r="E7" s="2"/>
      <c r="F7" s="2"/>
      <c r="G7" s="3"/>
      <c r="H7" s="18"/>
    </row>
    <row r="8" ht="27.75" customHeight="1">
      <c r="A8" s="27" t="s">
        <v>15</v>
      </c>
      <c r="B8" s="28" t="s">
        <v>43</v>
      </c>
      <c r="C8" s="28" t="s">
        <v>44</v>
      </c>
      <c r="D8" s="28" t="s">
        <v>45</v>
      </c>
      <c r="E8" s="28" t="s">
        <v>46</v>
      </c>
      <c r="F8" s="28" t="s">
        <v>47</v>
      </c>
      <c r="G8" s="28" t="s">
        <v>48</v>
      </c>
      <c r="H8" s="18"/>
    </row>
    <row r="9">
      <c r="A9" s="29" t="s">
        <v>20</v>
      </c>
      <c r="B9" s="31">
        <f t="array" ref="B9">SUMPRODUCT((COLETA!$A$5:$A$39=$A9)*INDEX(COLETA!$D$5:$AD$39,0,$H$4))</f>
        <v>3006848</v>
      </c>
      <c r="C9" s="31" t="str">
        <f t="array" ref="C9">IF($H$5="","",SUMPRODUCT((COLETA!$A$5:$A$39=$A9)*INDEX(COLETA!$D$5:$AD$39,0,$H$5)))</f>
        <v/>
      </c>
      <c r="D9" s="34" t="str">
        <f t="shared" ref="D9:D15" si="1">IF(OR($C9="",$C9=0),"",$B9-$C9)</f>
        <v/>
      </c>
      <c r="E9" s="35" t="str">
        <f t="shared" ref="E9:E16" si="2">IFERROR($D9/$C9,"")</f>
        <v/>
      </c>
      <c r="F9" s="36">
        <f t="shared" ref="F9:F15" si="3">IFERROR($B9/$B$16,"")</f>
        <v>0.1119641637</v>
      </c>
      <c r="G9" s="38">
        <f t="shared" ref="G9:G15" si="4">IF($B9=0,"",RANK($B9,$B$9:$B$15))</f>
        <v>3</v>
      </c>
      <c r="H9" s="18"/>
    </row>
    <row r="10">
      <c r="A10" s="39" t="s">
        <v>24</v>
      </c>
      <c r="B10" s="40">
        <f t="array" ref="B10">SUMPRODUCT((COLETA!$A$5:$A$39=$A10)*INDEX(COLETA!$D$5:$AD$39,0,$H$4))</f>
        <v>13075000</v>
      </c>
      <c r="C10" s="40" t="str">
        <f t="array" ref="C10">IF($H$5="","",SUMPRODUCT((COLETA!$A$5:$A$39=$A10)*INDEX(COLETA!$D$5:$AD$39,0,$H$5)))</f>
        <v/>
      </c>
      <c r="D10" s="41" t="str">
        <f t="shared" si="1"/>
        <v/>
      </c>
      <c r="E10" s="42" t="str">
        <f t="shared" si="2"/>
        <v/>
      </c>
      <c r="F10" s="43">
        <f t="shared" si="3"/>
        <v>0.4868657945</v>
      </c>
      <c r="G10" s="44">
        <f t="shared" si="4"/>
        <v>1</v>
      </c>
      <c r="H10" s="18"/>
    </row>
    <row r="11">
      <c r="A11" s="39" t="s">
        <v>52</v>
      </c>
      <c r="B11" s="40">
        <f t="array" ref="B11">SUMPRODUCT((COLETA!$A$5:$A$39=$A11)*INDEX(COLETA!$D$5:$AD$39,0,$H$4))</f>
        <v>4994100</v>
      </c>
      <c r="C11" s="40" t="str">
        <f t="array" ref="C11">IF($H$5="","",SUMPRODUCT((COLETA!$A$5:$A$39=$A11)*INDEX(COLETA!$D$5:$AD$39,0,$H$5)))</f>
        <v/>
      </c>
      <c r="D11" s="41" t="str">
        <f t="shared" si="1"/>
        <v/>
      </c>
      <c r="E11" s="42" t="str">
        <f t="shared" si="2"/>
        <v/>
      </c>
      <c r="F11" s="43">
        <f t="shared" si="3"/>
        <v>0.1859622535</v>
      </c>
      <c r="G11" s="44">
        <f t="shared" si="4"/>
        <v>2</v>
      </c>
      <c r="H11" s="18"/>
    </row>
    <row r="12">
      <c r="A12" s="39" t="s">
        <v>55</v>
      </c>
      <c r="B12" s="40">
        <f t="array" ref="B12">SUMPRODUCT((COLETA!$A$5:$A$39=$A12)*INDEX(COLETA!$D$5:$AD$39,0,$H$4))</f>
        <v>1933301</v>
      </c>
      <c r="C12" s="40" t="str">
        <f t="array" ref="C12">IF($H$5="","",SUMPRODUCT((COLETA!$A$5:$A$39=$A12)*INDEX(COLETA!$D$5:$AD$39,0,$H$5)))</f>
        <v/>
      </c>
      <c r="D12" s="41" t="str">
        <f t="shared" si="1"/>
        <v/>
      </c>
      <c r="E12" s="42" t="str">
        <f t="shared" si="2"/>
        <v/>
      </c>
      <c r="F12" s="43">
        <f t="shared" si="3"/>
        <v>0.07198914932</v>
      </c>
      <c r="G12" s="44">
        <f t="shared" si="4"/>
        <v>5</v>
      </c>
      <c r="H12" s="18"/>
    </row>
    <row r="13">
      <c r="A13" s="39" t="s">
        <v>58</v>
      </c>
      <c r="B13" s="40">
        <f t="array" ref="B13">SUMPRODUCT((COLETA!$A$5:$A$39=$A13)*INDEX(COLETA!$D$5:$AD$39,0,$H$4))</f>
        <v>745601</v>
      </c>
      <c r="C13" s="40" t="str">
        <f t="array" ref="C13">IF($H$5="","",SUMPRODUCT((COLETA!$A$5:$A$39=$A13)*INDEX(COLETA!$D$5:$AD$39,0,$H$5)))</f>
        <v/>
      </c>
      <c r="D13" s="41" t="str">
        <f t="shared" si="1"/>
        <v/>
      </c>
      <c r="E13" s="42" t="str">
        <f t="shared" si="2"/>
        <v/>
      </c>
      <c r="F13" s="43">
        <f t="shared" si="3"/>
        <v>0.02776348935</v>
      </c>
      <c r="G13" s="44">
        <f t="shared" si="4"/>
        <v>7</v>
      </c>
      <c r="H13" s="18"/>
    </row>
    <row r="14">
      <c r="A14" s="39" t="s">
        <v>59</v>
      </c>
      <c r="B14" s="40">
        <f t="array" ref="B14">SUMPRODUCT((COLETA!$A$5:$A$39=$A14)*INDEX(COLETA!$D$5:$AD$39,0,$H$4))</f>
        <v>1165000</v>
      </c>
      <c r="C14" s="40" t="str">
        <f t="array" ref="C14">IF($H$5="","",SUMPRODUCT((COLETA!$A$5:$A$39=$A14)*INDEX(COLETA!$D$5:$AD$39,0,$H$5)))</f>
        <v/>
      </c>
      <c r="D14" s="41" t="str">
        <f t="shared" si="1"/>
        <v/>
      </c>
      <c r="E14" s="42" t="str">
        <f t="shared" si="2"/>
        <v/>
      </c>
      <c r="F14" s="43">
        <f t="shared" si="3"/>
        <v>0.04338039392</v>
      </c>
      <c r="G14" s="44">
        <f t="shared" si="4"/>
        <v>6</v>
      </c>
      <c r="H14" s="18"/>
    </row>
    <row r="15">
      <c r="A15" s="39" t="s">
        <v>61</v>
      </c>
      <c r="B15" s="40">
        <f t="array" ref="B15">SUMPRODUCT((COLETA!$A$5:$A$39=$A15)*INDEX(COLETA!$D$5:$AD$39,0,$H$4))</f>
        <v>1935600</v>
      </c>
      <c r="C15" s="40" t="str">
        <f t="array" ref="C15">IF($H$5="","",SUMPRODUCT((COLETA!$A$5:$A$39=$A15)*INDEX(COLETA!$D$5:$AD$39,0,$H$5)))</f>
        <v/>
      </c>
      <c r="D15" s="41" t="str">
        <f t="shared" si="1"/>
        <v/>
      </c>
      <c r="E15" s="42" t="str">
        <f t="shared" si="2"/>
        <v/>
      </c>
      <c r="F15" s="43">
        <f t="shared" si="3"/>
        <v>0.07207475578</v>
      </c>
      <c r="G15" s="44">
        <f t="shared" si="4"/>
        <v>4</v>
      </c>
      <c r="H15" s="18"/>
    </row>
    <row r="16">
      <c r="A16" s="49" t="s">
        <v>64</v>
      </c>
      <c r="B16" s="51">
        <f>SUM($B$9:$B$15)</f>
        <v>26855450</v>
      </c>
      <c r="C16" s="51" t="str">
        <f>IF($H$5="","",SUM($C$9:$C$15))</f>
        <v/>
      </c>
      <c r="D16" s="52" t="str">
        <f>IF($C16="","",$B16-$C16)</f>
        <v/>
      </c>
      <c r="E16" s="53" t="str">
        <f t="shared" si="2"/>
        <v/>
      </c>
      <c r="F16" s="55">
        <v>1.0</v>
      </c>
      <c r="G16" s="56"/>
      <c r="H16" s="18"/>
    </row>
    <row r="17">
      <c r="A17" s="18"/>
      <c r="B17" s="18"/>
      <c r="C17" s="18"/>
      <c r="D17" s="18"/>
      <c r="E17" s="18"/>
      <c r="F17" s="18"/>
      <c r="G17" s="18"/>
      <c r="H17" s="18"/>
    </row>
    <row r="18" ht="21.75" customHeight="1">
      <c r="A18" s="26" t="s">
        <v>66</v>
      </c>
      <c r="B18" s="2"/>
      <c r="C18" s="2"/>
      <c r="D18" s="2"/>
      <c r="E18" s="2"/>
      <c r="F18" s="2"/>
      <c r="G18" s="3"/>
      <c r="H18" s="18"/>
    </row>
    <row r="19" ht="27.75" customHeight="1">
      <c r="A19" s="27" t="s">
        <v>15</v>
      </c>
      <c r="B19" s="28" t="s">
        <v>21</v>
      </c>
      <c r="C19" s="28" t="s">
        <v>25</v>
      </c>
      <c r="D19" s="28" t="s">
        <v>50</v>
      </c>
      <c r="E19" s="28" t="s">
        <v>53</v>
      </c>
      <c r="F19" s="28" t="s">
        <v>56</v>
      </c>
      <c r="G19" s="28" t="s">
        <v>68</v>
      </c>
      <c r="H19" s="18"/>
    </row>
    <row r="20">
      <c r="A20" s="29" t="s">
        <v>20</v>
      </c>
      <c r="B20" s="31">
        <f t="array" ref="B20">SUMPRODUCT((COLETA!$A$5:$A$39=$A20)*(COLETA!$B$5:$B$39=B$19)*INDEX(COLETA!$D$5:$AD$39,0,$H$4))</f>
        <v>1538814</v>
      </c>
      <c r="C20" s="31">
        <f t="array" ref="C20">SUMPRODUCT((COLETA!$A$5:$A$39=$A20)*(COLETA!$B$5:$B$39=C$19)*INDEX(COLETA!$D$5:$AD$39,0,$H$4))</f>
        <v>408600</v>
      </c>
      <c r="D20" s="31">
        <f t="array" ref="D20">SUMPRODUCT((COLETA!$A$5:$A$39=$A20)*(COLETA!$B$5:$B$39=D$19)*INDEX(COLETA!$D$5:$AD$39,0,$H$4))</f>
        <v>983823</v>
      </c>
      <c r="E20" s="31">
        <f t="array" ref="E20">SUMPRODUCT((COLETA!$A$5:$A$39=$A20)*(COLETA!$B$5:$B$39=E$19)*INDEX(COLETA!$D$5:$AD$39,0,$H$4))</f>
        <v>58240</v>
      </c>
      <c r="F20" s="31">
        <f t="array" ref="F20">SUMPRODUCT((COLETA!$A$5:$A$39=$A20)*(COLETA!$B$5:$B$39=F$19)*INDEX(COLETA!$D$5:$AD$39,0,$H$4))</f>
        <v>17371</v>
      </c>
      <c r="G20" s="31">
        <f t="shared" ref="G20:G26" si="5">SUM($B20:$F20)</f>
        <v>3006848</v>
      </c>
      <c r="H20" s="18"/>
    </row>
    <row r="21" ht="15.75" customHeight="1">
      <c r="A21" s="39" t="s">
        <v>24</v>
      </c>
      <c r="B21" s="40">
        <f t="array" ref="B21">SUMPRODUCT((COLETA!$A$5:$A$39=$A21)*(COLETA!$B$5:$B$39=B$19)*INDEX(COLETA!$D$5:$AD$39,0,$H$4))</f>
        <v>4900000</v>
      </c>
      <c r="C21" s="40">
        <f t="array" ref="C21">SUMPRODUCT((COLETA!$A$5:$A$39=$A21)*(COLETA!$B$5:$B$39=C$19)*INDEX(COLETA!$D$5:$AD$39,0,$H$4))</f>
        <v>3800000</v>
      </c>
      <c r="D21" s="40">
        <f t="array" ref="D21">SUMPRODUCT((COLETA!$A$5:$A$39=$A21)*(COLETA!$B$5:$B$39=D$19)*INDEX(COLETA!$D$5:$AD$39,0,$H$4))</f>
        <v>3700000</v>
      </c>
      <c r="E21" s="40">
        <f t="array" ref="E21">SUMPRODUCT((COLETA!$A$5:$A$39=$A21)*(COLETA!$B$5:$B$39=E$19)*INDEX(COLETA!$D$5:$AD$39,0,$H$4))</f>
        <v>644000</v>
      </c>
      <c r="F21" s="40">
        <f t="array" ref="F21">SUMPRODUCT((COLETA!$A$5:$A$39=$A21)*(COLETA!$B$5:$B$39=F$19)*INDEX(COLETA!$D$5:$AD$39,0,$H$4))</f>
        <v>31000</v>
      </c>
      <c r="G21" s="40">
        <f t="shared" si="5"/>
        <v>13075000</v>
      </c>
      <c r="H21" s="18"/>
    </row>
    <row r="22" ht="15.75" customHeight="1">
      <c r="A22" s="39" t="s">
        <v>52</v>
      </c>
      <c r="B22" s="40">
        <f t="array" ref="B22">SUMPRODUCT((COLETA!$A$5:$A$39=$A22)*(COLETA!$B$5:$B$39=B$19)*INDEX(COLETA!$D$5:$AD$39,0,$H$4))</f>
        <v>2300000</v>
      </c>
      <c r="C22" s="40">
        <f t="array" ref="C22">SUMPRODUCT((COLETA!$A$5:$A$39=$A22)*(COLETA!$B$5:$B$39=C$19)*INDEX(COLETA!$D$5:$AD$39,0,$H$4))</f>
        <v>442100</v>
      </c>
      <c r="D22" s="40">
        <f t="array" ref="D22">SUMPRODUCT((COLETA!$A$5:$A$39=$A22)*(COLETA!$B$5:$B$39=D$19)*INDEX(COLETA!$D$5:$AD$39,0,$H$4))</f>
        <v>2000000</v>
      </c>
      <c r="E22" s="40">
        <f t="array" ref="E22">SUMPRODUCT((COLETA!$A$5:$A$39=$A22)*(COLETA!$B$5:$B$39=E$19)*INDEX(COLETA!$D$5:$AD$39,0,$H$4))</f>
        <v>186000</v>
      </c>
      <c r="F22" s="40">
        <f t="array" ref="F22">SUMPRODUCT((COLETA!$A$5:$A$39=$A22)*(COLETA!$B$5:$B$39=F$19)*INDEX(COLETA!$D$5:$AD$39,0,$H$4))</f>
        <v>66000</v>
      </c>
      <c r="G22" s="40">
        <f t="shared" si="5"/>
        <v>4994100</v>
      </c>
      <c r="H22" s="18"/>
    </row>
    <row r="23" ht="15.75" customHeight="1">
      <c r="A23" s="39" t="s">
        <v>55</v>
      </c>
      <c r="B23" s="40">
        <f t="array" ref="B23">SUMPRODUCT((COLETA!$A$5:$A$39=$A23)*(COLETA!$B$5:$B$39=B$19)*INDEX(COLETA!$D$5:$AD$39,0,$H$4))</f>
        <v>1000000</v>
      </c>
      <c r="C23" s="40">
        <f t="array" ref="C23">SUMPRODUCT((COLETA!$A$5:$A$39=$A23)*(COLETA!$B$5:$B$39=C$19)*INDEX(COLETA!$D$5:$AD$39,0,$H$4))</f>
        <v>250000</v>
      </c>
      <c r="D23" s="40">
        <f t="array" ref="D23">SUMPRODUCT((COLETA!$A$5:$A$39=$A23)*(COLETA!$B$5:$B$39=D$19)*INDEX(COLETA!$D$5:$AD$39,0,$H$4))</f>
        <v>665000</v>
      </c>
      <c r="E23" s="40">
        <f t="array" ref="E23">SUMPRODUCT((COLETA!$A$5:$A$39=$A23)*(COLETA!$B$5:$B$39=E$19)*INDEX(COLETA!$D$5:$AD$39,0,$H$4))</f>
        <v>18300</v>
      </c>
      <c r="F23" s="40">
        <f t="array" ref="F23">SUMPRODUCT((COLETA!$A$5:$A$39=$A23)*(COLETA!$B$5:$B$39=F$19)*INDEX(COLETA!$D$5:$AD$39,0,$H$4))</f>
        <v>1</v>
      </c>
      <c r="G23" s="40">
        <f t="shared" si="5"/>
        <v>1933301</v>
      </c>
      <c r="H23" s="18"/>
    </row>
    <row r="24" ht="15.75" customHeight="1">
      <c r="A24" s="39" t="s">
        <v>58</v>
      </c>
      <c r="B24" s="40">
        <f t="array" ref="B24">SUMPRODUCT((COLETA!$A$5:$A$39=$A24)*(COLETA!$B$5:$B$39=B$19)*INDEX(COLETA!$D$5:$AD$39,0,$H$4))</f>
        <v>586000</v>
      </c>
      <c r="C24" s="40">
        <f t="array" ref="C24">SUMPRODUCT((COLETA!$A$5:$A$39=$A24)*(COLETA!$B$5:$B$39=C$19)*INDEX(COLETA!$D$5:$AD$39,0,$H$4))</f>
        <v>95400</v>
      </c>
      <c r="D24" s="40">
        <f t="array" ref="D24">SUMPRODUCT((COLETA!$A$5:$A$39=$A24)*(COLETA!$B$5:$B$39=D$19)*INDEX(COLETA!$D$5:$AD$39,0,$H$4))</f>
        <v>54000</v>
      </c>
      <c r="E24" s="40">
        <f t="array" ref="E24">SUMPRODUCT((COLETA!$A$5:$A$39=$A24)*(COLETA!$B$5:$B$39=E$19)*INDEX(COLETA!$D$5:$AD$39,0,$H$4))</f>
        <v>10200</v>
      </c>
      <c r="F24" s="40">
        <f t="array" ref="F24">SUMPRODUCT((COLETA!$A$5:$A$39=$A24)*(COLETA!$B$5:$B$39=F$19)*INDEX(COLETA!$D$5:$AD$39,0,$H$4))</f>
        <v>1</v>
      </c>
      <c r="G24" s="40">
        <f t="shared" si="5"/>
        <v>745601</v>
      </c>
      <c r="H24" s="18"/>
    </row>
    <row r="25" ht="15.75" customHeight="1">
      <c r="A25" s="39" t="s">
        <v>59</v>
      </c>
      <c r="B25" s="40">
        <f t="array" ref="B25">SUMPRODUCT((COLETA!$A$5:$A$39=$A25)*(COLETA!$B$5:$B$39=B$19)*INDEX(COLETA!$D$5:$AD$39,0,$H$4))</f>
        <v>629000</v>
      </c>
      <c r="C25" s="40">
        <f t="array" ref="C25">SUMPRODUCT((COLETA!$A$5:$A$39=$A25)*(COLETA!$B$5:$B$39=C$19)*INDEX(COLETA!$D$5:$AD$39,0,$H$4))</f>
        <v>50000</v>
      </c>
      <c r="D25" s="40">
        <f t="array" ref="D25">SUMPRODUCT((COLETA!$A$5:$A$39=$A25)*(COLETA!$B$5:$B$39=D$19)*INDEX(COLETA!$D$5:$AD$39,0,$H$4))</f>
        <v>464000</v>
      </c>
      <c r="E25" s="40">
        <f t="array" ref="E25">SUMPRODUCT((COLETA!$A$5:$A$39=$A25)*(COLETA!$B$5:$B$39=E$19)*INDEX(COLETA!$D$5:$AD$39,0,$H$4))</f>
        <v>11000</v>
      </c>
      <c r="F25" s="40">
        <f t="array" ref="F25">SUMPRODUCT((COLETA!$A$5:$A$39=$A25)*(COLETA!$B$5:$B$39=F$19)*INDEX(COLETA!$D$5:$AD$39,0,$H$4))</f>
        <v>11000</v>
      </c>
      <c r="G25" s="40">
        <f t="shared" si="5"/>
        <v>1165000</v>
      </c>
      <c r="H25" s="18"/>
    </row>
    <row r="26" ht="15.75" customHeight="1">
      <c r="A26" s="39" t="s">
        <v>61</v>
      </c>
      <c r="B26" s="40">
        <f t="array" ref="B26">SUMPRODUCT((COLETA!$A$5:$A$39=$A26)*(COLETA!$B$5:$B$39=B$19)*INDEX(COLETA!$D$5:$AD$39,0,$H$4))</f>
        <v>1100000</v>
      </c>
      <c r="C26" s="40">
        <f t="array" ref="C26">SUMPRODUCT((COLETA!$A$5:$A$39=$A26)*(COLETA!$B$5:$B$39=C$19)*INDEX(COLETA!$D$5:$AD$39,0,$H$4))</f>
        <v>142800</v>
      </c>
      <c r="D26" s="40">
        <f t="array" ref="D26">SUMPRODUCT((COLETA!$A$5:$A$39=$A26)*(COLETA!$B$5:$B$39=D$19)*INDEX(COLETA!$D$5:$AD$39,0,$H$4))</f>
        <v>675000</v>
      </c>
      <c r="E26" s="40">
        <f t="array" ref="E26">SUMPRODUCT((COLETA!$A$5:$A$39=$A26)*(COLETA!$B$5:$B$39=E$19)*INDEX(COLETA!$D$5:$AD$39,0,$H$4))</f>
        <v>7800</v>
      </c>
      <c r="F26" s="40">
        <f t="array" ref="F26">SUMPRODUCT((COLETA!$A$5:$A$39=$A26)*(COLETA!$B$5:$B$39=F$19)*INDEX(COLETA!$D$5:$AD$39,0,$H$4))</f>
        <v>10000</v>
      </c>
      <c r="G26" s="40">
        <f t="shared" si="5"/>
        <v>1935600</v>
      </c>
      <c r="H26" s="18"/>
    </row>
    <row r="27" ht="15.75" customHeight="1">
      <c r="A27" s="49" t="s">
        <v>64</v>
      </c>
      <c r="B27" s="51">
        <f t="shared" ref="B27:G27" si="6">SUM(B$20:B$26)</f>
        <v>12053814</v>
      </c>
      <c r="C27" s="51">
        <f t="shared" si="6"/>
        <v>5188900</v>
      </c>
      <c r="D27" s="51">
        <f t="shared" si="6"/>
        <v>8541823</v>
      </c>
      <c r="E27" s="51">
        <f t="shared" si="6"/>
        <v>935540</v>
      </c>
      <c r="F27" s="51">
        <f t="shared" si="6"/>
        <v>135373</v>
      </c>
      <c r="G27" s="51">
        <f t="shared" si="6"/>
        <v>26855450</v>
      </c>
      <c r="H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</row>
    <row r="29" ht="21.75" customHeight="1">
      <c r="A29" s="26" t="s">
        <v>79</v>
      </c>
      <c r="B29" s="2"/>
      <c r="C29" s="2"/>
      <c r="D29" s="2"/>
      <c r="E29" s="2"/>
      <c r="F29" s="2"/>
      <c r="G29" s="3"/>
      <c r="H29" s="18"/>
    </row>
    <row r="30" ht="27.75" customHeight="1">
      <c r="A30" s="27" t="s">
        <v>15</v>
      </c>
      <c r="B30" s="28" t="s">
        <v>21</v>
      </c>
      <c r="C30" s="28" t="s">
        <v>25</v>
      </c>
      <c r="D30" s="28" t="s">
        <v>50</v>
      </c>
      <c r="E30" s="28" t="s">
        <v>53</v>
      </c>
      <c r="F30" s="28" t="s">
        <v>56</v>
      </c>
      <c r="G30" s="28" t="s">
        <v>80</v>
      </c>
      <c r="H30" s="18"/>
    </row>
    <row r="31" ht="15.75" customHeight="1">
      <c r="A31" s="29" t="s">
        <v>20</v>
      </c>
      <c r="B31" s="34" t="str">
        <f t="array" ref="B31">IF($H$5="","",SUMPRODUCT((COLETA!$A$5:$A$39=$A31)*(COLETA!$B$5:$B$39=B$30)*INDEX(COLETA!$D$5:$AD$39,0,$H$4))-SUMPRODUCT((COLETA!$A$5:$A$39=$A31)*(COLETA!$B$5:$B$39=B$30)*INDEX(COLETA!$D$5:$AD$39,0,$H$5)))</f>
        <v/>
      </c>
      <c r="C31" s="34" t="str">
        <f t="array" ref="C31">IF($H$5="","",SUMPRODUCT((COLETA!$A$5:$A$39=$A31)*(COLETA!$B$5:$B$39=C$30)*INDEX(COLETA!$D$5:$AD$39,0,$H$4))-SUMPRODUCT((COLETA!$A$5:$A$39=$A31)*(COLETA!$B$5:$B$39=C$30)*INDEX(COLETA!$D$5:$AD$39,0,$H$5)))</f>
        <v/>
      </c>
      <c r="D31" s="34" t="str">
        <f t="array" ref="D31">IF($H$5="","",SUMPRODUCT((COLETA!$A$5:$A$39=$A31)*(COLETA!$B$5:$B$39=D$30)*INDEX(COLETA!$D$5:$AD$39,0,$H$4))-SUMPRODUCT((COLETA!$A$5:$A$39=$A31)*(COLETA!$B$5:$B$39=D$30)*INDEX(COLETA!$D$5:$AD$39,0,$H$5)))</f>
        <v/>
      </c>
      <c r="E31" s="34" t="str">
        <f t="array" ref="E31">IF($H$5="","",SUMPRODUCT((COLETA!$A$5:$A$39=$A31)*(COLETA!$B$5:$B$39=E$30)*INDEX(COLETA!$D$5:$AD$39,0,$H$4))-SUMPRODUCT((COLETA!$A$5:$A$39=$A31)*(COLETA!$B$5:$B$39=E$30)*INDEX(COLETA!$D$5:$AD$39,0,$H$5)))</f>
        <v/>
      </c>
      <c r="F31" s="34" t="str">
        <f t="array" ref="F31">IF($H$5="","",SUMPRODUCT((COLETA!$A$5:$A$39=$A31)*(COLETA!$B$5:$B$39=F$30)*INDEX(COLETA!$D$5:$AD$39,0,$H$4))-SUMPRODUCT((COLETA!$A$5:$A$39=$A31)*(COLETA!$B$5:$B$39=F$30)*INDEX(COLETA!$D$5:$AD$39,0,$H$5)))</f>
        <v/>
      </c>
      <c r="G31" s="34" t="str">
        <f t="shared" ref="G31:G37" si="7">IF($H$5="","",SUM($B31:$F31))</f>
        <v/>
      </c>
      <c r="H31" s="18"/>
    </row>
    <row r="32" ht="15.75" customHeight="1">
      <c r="A32" s="39" t="s">
        <v>24</v>
      </c>
      <c r="B32" s="41" t="str">
        <f t="array" ref="B32">IF($H$5="","",SUMPRODUCT((COLETA!$A$5:$A$39=$A32)*(COLETA!$B$5:$B$39=B$30)*INDEX(COLETA!$D$5:$AD$39,0,$H$4))-SUMPRODUCT((COLETA!$A$5:$A$39=$A32)*(COLETA!$B$5:$B$39=B$30)*INDEX(COLETA!$D$5:$AD$39,0,$H$5)))</f>
        <v/>
      </c>
      <c r="C32" s="41" t="str">
        <f t="array" ref="C32">IF($H$5="","",SUMPRODUCT((COLETA!$A$5:$A$39=$A32)*(COLETA!$B$5:$B$39=C$30)*INDEX(COLETA!$D$5:$AD$39,0,$H$4))-SUMPRODUCT((COLETA!$A$5:$A$39=$A32)*(COLETA!$B$5:$B$39=C$30)*INDEX(COLETA!$D$5:$AD$39,0,$H$5)))</f>
        <v/>
      </c>
      <c r="D32" s="41" t="str">
        <f t="array" ref="D32">IF($H$5="","",SUMPRODUCT((COLETA!$A$5:$A$39=$A32)*(COLETA!$B$5:$B$39=D$30)*INDEX(COLETA!$D$5:$AD$39,0,$H$4))-SUMPRODUCT((COLETA!$A$5:$A$39=$A32)*(COLETA!$B$5:$B$39=D$30)*INDEX(COLETA!$D$5:$AD$39,0,$H$5)))</f>
        <v/>
      </c>
      <c r="E32" s="41" t="str">
        <f t="array" ref="E32">IF($H$5="","",SUMPRODUCT((COLETA!$A$5:$A$39=$A32)*(COLETA!$B$5:$B$39=E$30)*INDEX(COLETA!$D$5:$AD$39,0,$H$4))-SUMPRODUCT((COLETA!$A$5:$A$39=$A32)*(COLETA!$B$5:$B$39=E$30)*INDEX(COLETA!$D$5:$AD$39,0,$H$5)))</f>
        <v/>
      </c>
      <c r="F32" s="41" t="str">
        <f t="array" ref="F32">IF($H$5="","",SUMPRODUCT((COLETA!$A$5:$A$39=$A32)*(COLETA!$B$5:$B$39=F$30)*INDEX(COLETA!$D$5:$AD$39,0,$H$4))-SUMPRODUCT((COLETA!$A$5:$A$39=$A32)*(COLETA!$B$5:$B$39=F$30)*INDEX(COLETA!$D$5:$AD$39,0,$H$5)))</f>
        <v/>
      </c>
      <c r="G32" s="41" t="str">
        <f t="shared" si="7"/>
        <v/>
      </c>
      <c r="H32" s="18"/>
    </row>
    <row r="33" ht="15.75" customHeight="1">
      <c r="A33" s="39" t="s">
        <v>52</v>
      </c>
      <c r="B33" s="41" t="str">
        <f t="array" ref="B33">IF($H$5="","",SUMPRODUCT((COLETA!$A$5:$A$39=$A33)*(COLETA!$B$5:$B$39=B$30)*INDEX(COLETA!$D$5:$AD$39,0,$H$4))-SUMPRODUCT((COLETA!$A$5:$A$39=$A33)*(COLETA!$B$5:$B$39=B$30)*INDEX(COLETA!$D$5:$AD$39,0,$H$5)))</f>
        <v/>
      </c>
      <c r="C33" s="41" t="str">
        <f t="array" ref="C33">IF($H$5="","",SUMPRODUCT((COLETA!$A$5:$A$39=$A33)*(COLETA!$B$5:$B$39=C$30)*INDEX(COLETA!$D$5:$AD$39,0,$H$4))-SUMPRODUCT((COLETA!$A$5:$A$39=$A33)*(COLETA!$B$5:$B$39=C$30)*INDEX(COLETA!$D$5:$AD$39,0,$H$5)))</f>
        <v/>
      </c>
      <c r="D33" s="41" t="str">
        <f t="array" ref="D33">IF($H$5="","",SUMPRODUCT((COLETA!$A$5:$A$39=$A33)*(COLETA!$B$5:$B$39=D$30)*INDEX(COLETA!$D$5:$AD$39,0,$H$4))-SUMPRODUCT((COLETA!$A$5:$A$39=$A33)*(COLETA!$B$5:$B$39=D$30)*INDEX(COLETA!$D$5:$AD$39,0,$H$5)))</f>
        <v/>
      </c>
      <c r="E33" s="41" t="str">
        <f t="array" ref="E33">IF($H$5="","",SUMPRODUCT((COLETA!$A$5:$A$39=$A33)*(COLETA!$B$5:$B$39=E$30)*INDEX(COLETA!$D$5:$AD$39,0,$H$4))-SUMPRODUCT((COLETA!$A$5:$A$39=$A33)*(COLETA!$B$5:$B$39=E$30)*INDEX(COLETA!$D$5:$AD$39,0,$H$5)))</f>
        <v/>
      </c>
      <c r="F33" s="41" t="str">
        <f t="array" ref="F33">IF($H$5="","",SUMPRODUCT((COLETA!$A$5:$A$39=$A33)*(COLETA!$B$5:$B$39=F$30)*INDEX(COLETA!$D$5:$AD$39,0,$H$4))-SUMPRODUCT((COLETA!$A$5:$A$39=$A33)*(COLETA!$B$5:$B$39=F$30)*INDEX(COLETA!$D$5:$AD$39,0,$H$5)))</f>
        <v/>
      </c>
      <c r="G33" s="41" t="str">
        <f t="shared" si="7"/>
        <v/>
      </c>
      <c r="H33" s="18"/>
    </row>
    <row r="34" ht="15.75" customHeight="1">
      <c r="A34" s="39" t="s">
        <v>55</v>
      </c>
      <c r="B34" s="41" t="str">
        <f t="array" ref="B34">IF($H$5="","",SUMPRODUCT((COLETA!$A$5:$A$39=$A34)*(COLETA!$B$5:$B$39=B$30)*INDEX(COLETA!$D$5:$AD$39,0,$H$4))-SUMPRODUCT((COLETA!$A$5:$A$39=$A34)*(COLETA!$B$5:$B$39=B$30)*INDEX(COLETA!$D$5:$AD$39,0,$H$5)))</f>
        <v/>
      </c>
      <c r="C34" s="41" t="str">
        <f t="array" ref="C34">IF($H$5="","",SUMPRODUCT((COLETA!$A$5:$A$39=$A34)*(COLETA!$B$5:$B$39=C$30)*INDEX(COLETA!$D$5:$AD$39,0,$H$4))-SUMPRODUCT((COLETA!$A$5:$A$39=$A34)*(COLETA!$B$5:$B$39=C$30)*INDEX(COLETA!$D$5:$AD$39,0,$H$5)))</f>
        <v/>
      </c>
      <c r="D34" s="41" t="str">
        <f t="array" ref="D34">IF($H$5="","",SUMPRODUCT((COLETA!$A$5:$A$39=$A34)*(COLETA!$B$5:$B$39=D$30)*INDEX(COLETA!$D$5:$AD$39,0,$H$4))-SUMPRODUCT((COLETA!$A$5:$A$39=$A34)*(COLETA!$B$5:$B$39=D$30)*INDEX(COLETA!$D$5:$AD$39,0,$H$5)))</f>
        <v/>
      </c>
      <c r="E34" s="41" t="str">
        <f t="array" ref="E34">IF($H$5="","",SUMPRODUCT((COLETA!$A$5:$A$39=$A34)*(COLETA!$B$5:$B$39=E$30)*INDEX(COLETA!$D$5:$AD$39,0,$H$4))-SUMPRODUCT((COLETA!$A$5:$A$39=$A34)*(COLETA!$B$5:$B$39=E$30)*INDEX(COLETA!$D$5:$AD$39,0,$H$5)))</f>
        <v/>
      </c>
      <c r="F34" s="41" t="str">
        <f t="array" ref="F34">IF($H$5="","",SUMPRODUCT((COLETA!$A$5:$A$39=$A34)*(COLETA!$B$5:$B$39=F$30)*INDEX(COLETA!$D$5:$AD$39,0,$H$4))-SUMPRODUCT((COLETA!$A$5:$A$39=$A34)*(COLETA!$B$5:$B$39=F$30)*INDEX(COLETA!$D$5:$AD$39,0,$H$5)))</f>
        <v/>
      </c>
      <c r="G34" s="41" t="str">
        <f t="shared" si="7"/>
        <v/>
      </c>
      <c r="H34" s="18"/>
    </row>
    <row r="35" ht="15.75" customHeight="1">
      <c r="A35" s="39" t="s">
        <v>58</v>
      </c>
      <c r="B35" s="41" t="str">
        <f t="array" ref="B35">IF($H$5="","",SUMPRODUCT((COLETA!$A$5:$A$39=$A35)*(COLETA!$B$5:$B$39=B$30)*INDEX(COLETA!$D$5:$AD$39,0,$H$4))-SUMPRODUCT((COLETA!$A$5:$A$39=$A35)*(COLETA!$B$5:$B$39=B$30)*INDEX(COLETA!$D$5:$AD$39,0,$H$5)))</f>
        <v/>
      </c>
      <c r="C35" s="41" t="str">
        <f t="array" ref="C35">IF($H$5="","",SUMPRODUCT((COLETA!$A$5:$A$39=$A35)*(COLETA!$B$5:$B$39=C$30)*INDEX(COLETA!$D$5:$AD$39,0,$H$4))-SUMPRODUCT((COLETA!$A$5:$A$39=$A35)*(COLETA!$B$5:$B$39=C$30)*INDEX(COLETA!$D$5:$AD$39,0,$H$5)))</f>
        <v/>
      </c>
      <c r="D35" s="41" t="str">
        <f t="array" ref="D35">IF($H$5="","",SUMPRODUCT((COLETA!$A$5:$A$39=$A35)*(COLETA!$B$5:$B$39=D$30)*INDEX(COLETA!$D$5:$AD$39,0,$H$4))-SUMPRODUCT((COLETA!$A$5:$A$39=$A35)*(COLETA!$B$5:$B$39=D$30)*INDEX(COLETA!$D$5:$AD$39,0,$H$5)))</f>
        <v/>
      </c>
      <c r="E35" s="41" t="str">
        <f t="array" ref="E35">IF($H$5="","",SUMPRODUCT((COLETA!$A$5:$A$39=$A35)*(COLETA!$B$5:$B$39=E$30)*INDEX(COLETA!$D$5:$AD$39,0,$H$4))-SUMPRODUCT((COLETA!$A$5:$A$39=$A35)*(COLETA!$B$5:$B$39=E$30)*INDEX(COLETA!$D$5:$AD$39,0,$H$5)))</f>
        <v/>
      </c>
      <c r="F35" s="41" t="str">
        <f t="array" ref="F35">IF($H$5="","",SUMPRODUCT((COLETA!$A$5:$A$39=$A35)*(COLETA!$B$5:$B$39=F$30)*INDEX(COLETA!$D$5:$AD$39,0,$H$4))-SUMPRODUCT((COLETA!$A$5:$A$39=$A35)*(COLETA!$B$5:$B$39=F$30)*INDEX(COLETA!$D$5:$AD$39,0,$H$5)))</f>
        <v/>
      </c>
      <c r="G35" s="41" t="str">
        <f t="shared" si="7"/>
        <v/>
      </c>
      <c r="H35" s="18"/>
    </row>
    <row r="36" ht="15.75" customHeight="1">
      <c r="A36" s="39" t="s">
        <v>59</v>
      </c>
      <c r="B36" s="41" t="str">
        <f t="array" ref="B36">IF($H$5="","",SUMPRODUCT((COLETA!$A$5:$A$39=$A36)*(COLETA!$B$5:$B$39=B$30)*INDEX(COLETA!$D$5:$AD$39,0,$H$4))-SUMPRODUCT((COLETA!$A$5:$A$39=$A36)*(COLETA!$B$5:$B$39=B$30)*INDEX(COLETA!$D$5:$AD$39,0,$H$5)))</f>
        <v/>
      </c>
      <c r="C36" s="41" t="str">
        <f t="array" ref="C36">IF($H$5="","",SUMPRODUCT((COLETA!$A$5:$A$39=$A36)*(COLETA!$B$5:$B$39=C$30)*INDEX(COLETA!$D$5:$AD$39,0,$H$4))-SUMPRODUCT((COLETA!$A$5:$A$39=$A36)*(COLETA!$B$5:$B$39=C$30)*INDEX(COLETA!$D$5:$AD$39,0,$H$5)))</f>
        <v/>
      </c>
      <c r="D36" s="41" t="str">
        <f t="array" ref="D36">IF($H$5="","",SUMPRODUCT((COLETA!$A$5:$A$39=$A36)*(COLETA!$B$5:$B$39=D$30)*INDEX(COLETA!$D$5:$AD$39,0,$H$4))-SUMPRODUCT((COLETA!$A$5:$A$39=$A36)*(COLETA!$B$5:$B$39=D$30)*INDEX(COLETA!$D$5:$AD$39,0,$H$5)))</f>
        <v/>
      </c>
      <c r="E36" s="41" t="str">
        <f t="array" ref="E36">IF($H$5="","",SUMPRODUCT((COLETA!$A$5:$A$39=$A36)*(COLETA!$B$5:$B$39=E$30)*INDEX(COLETA!$D$5:$AD$39,0,$H$4))-SUMPRODUCT((COLETA!$A$5:$A$39=$A36)*(COLETA!$B$5:$B$39=E$30)*INDEX(COLETA!$D$5:$AD$39,0,$H$5)))</f>
        <v/>
      </c>
      <c r="F36" s="41" t="str">
        <f t="array" ref="F36">IF($H$5="","",SUMPRODUCT((COLETA!$A$5:$A$39=$A36)*(COLETA!$B$5:$B$39=F$30)*INDEX(COLETA!$D$5:$AD$39,0,$H$4))-SUMPRODUCT((COLETA!$A$5:$A$39=$A36)*(COLETA!$B$5:$B$39=F$30)*INDEX(COLETA!$D$5:$AD$39,0,$H$5)))</f>
        <v/>
      </c>
      <c r="G36" s="41" t="str">
        <f t="shared" si="7"/>
        <v/>
      </c>
      <c r="H36" s="18"/>
    </row>
    <row r="37" ht="15.75" customHeight="1">
      <c r="A37" s="39" t="s">
        <v>61</v>
      </c>
      <c r="B37" s="41" t="str">
        <f t="array" ref="B37">IF($H$5="","",SUMPRODUCT((COLETA!$A$5:$A$39=$A37)*(COLETA!$B$5:$B$39=B$30)*INDEX(COLETA!$D$5:$AD$39,0,$H$4))-SUMPRODUCT((COLETA!$A$5:$A$39=$A37)*(COLETA!$B$5:$B$39=B$30)*INDEX(COLETA!$D$5:$AD$39,0,$H$5)))</f>
        <v/>
      </c>
      <c r="C37" s="41" t="str">
        <f t="array" ref="C37">IF($H$5="","",SUMPRODUCT((COLETA!$A$5:$A$39=$A37)*(COLETA!$B$5:$B$39=C$30)*INDEX(COLETA!$D$5:$AD$39,0,$H$4))-SUMPRODUCT((COLETA!$A$5:$A$39=$A37)*(COLETA!$B$5:$B$39=C$30)*INDEX(COLETA!$D$5:$AD$39,0,$H$5)))</f>
        <v/>
      </c>
      <c r="D37" s="41" t="str">
        <f t="array" ref="D37">IF($H$5="","",SUMPRODUCT((COLETA!$A$5:$A$39=$A37)*(COLETA!$B$5:$B$39=D$30)*INDEX(COLETA!$D$5:$AD$39,0,$H$4))-SUMPRODUCT((COLETA!$A$5:$A$39=$A37)*(COLETA!$B$5:$B$39=D$30)*INDEX(COLETA!$D$5:$AD$39,0,$H$5)))</f>
        <v/>
      </c>
      <c r="E37" s="41" t="str">
        <f t="array" ref="E37">IF($H$5="","",SUMPRODUCT((COLETA!$A$5:$A$39=$A37)*(COLETA!$B$5:$B$39=E$30)*INDEX(COLETA!$D$5:$AD$39,0,$H$4))-SUMPRODUCT((COLETA!$A$5:$A$39=$A37)*(COLETA!$B$5:$B$39=E$30)*INDEX(COLETA!$D$5:$AD$39,0,$H$5)))</f>
        <v/>
      </c>
      <c r="F37" s="41" t="str">
        <f t="array" ref="F37">IF($H$5="","",SUMPRODUCT((COLETA!$A$5:$A$39=$A37)*(COLETA!$B$5:$B$39=F$30)*INDEX(COLETA!$D$5:$AD$39,0,$H$4))-SUMPRODUCT((COLETA!$A$5:$A$39=$A37)*(COLETA!$B$5:$B$39=F$30)*INDEX(COLETA!$D$5:$AD$39,0,$H$5)))</f>
        <v/>
      </c>
      <c r="G37" s="41" t="str">
        <f t="shared" si="7"/>
        <v/>
      </c>
      <c r="H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</row>
    <row r="39" ht="15.75" customHeight="1">
      <c r="A39" s="69" t="s">
        <v>97</v>
      </c>
      <c r="B39" s="18"/>
      <c r="C39" s="18"/>
      <c r="D39" s="18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7:G7"/>
    <mergeCell ref="A18:G18"/>
    <mergeCell ref="A29:G29"/>
  </mergeCells>
  <conditionalFormatting sqref="D9:E16">
    <cfRule type="cellIs" dxfId="0" priority="1" operator="greaterThan">
      <formula>0</formula>
    </cfRule>
  </conditionalFormatting>
  <conditionalFormatting sqref="D9:E16">
    <cfRule type="cellIs" dxfId="1" priority="2" operator="lessThan">
      <formula>0</formula>
    </cfRule>
  </conditionalFormatting>
  <conditionalFormatting sqref="B31:G37">
    <cfRule type="cellIs" dxfId="0" priority="3" operator="greaterThan">
      <formula>0</formula>
    </cfRule>
  </conditionalFormatting>
  <conditionalFormatting sqref="B31:G37">
    <cfRule type="cellIs" dxfId="1" priority="4" operator="lessThan">
      <formula>0</formula>
    </cfRule>
  </conditionalFormatting>
  <dataValidations>
    <dataValidation type="list" allowBlank="1" showErrorMessage="1" sqref="B3">
      <formula1>COLETA!$D$4:$AD$4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28" width="12.0"/>
  </cols>
  <sheetData>
    <row r="1" ht="42.0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9.5" customHeight="1">
      <c r="A2" s="4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2" t="s">
        <v>15</v>
      </c>
      <c r="B4" s="54">
        <f>COLETA!D$4</f>
        <v>46257</v>
      </c>
      <c r="C4" s="57">
        <f>COLETA!E$4</f>
        <v>46263</v>
      </c>
      <c r="D4" s="54">
        <f>COLETA!F$4</f>
        <v>46271</v>
      </c>
      <c r="E4" s="57">
        <f>COLETA!G$4</f>
        <v>46278</v>
      </c>
      <c r="F4" s="54">
        <f>COLETA!H$4</f>
        <v>46285</v>
      </c>
      <c r="G4" s="57">
        <f>COLETA!I$4</f>
        <v>46292</v>
      </c>
      <c r="H4" s="54">
        <f>COLETA!J$4</f>
        <v>46299</v>
      </c>
      <c r="I4" s="57">
        <f>COLETA!K$4</f>
        <v>46306</v>
      </c>
      <c r="J4" s="54">
        <f>COLETA!L$4</f>
        <v>46315</v>
      </c>
      <c r="K4" s="57">
        <f>COLETA!M$4</f>
        <v>46322</v>
      </c>
      <c r="L4" s="54">
        <f>COLETA!N$4</f>
        <v>46329</v>
      </c>
      <c r="M4" s="57">
        <f>COLETA!O$4</f>
        <v>46336</v>
      </c>
      <c r="N4" s="54">
        <f>COLETA!P$4</f>
        <v>46343</v>
      </c>
      <c r="O4" s="57">
        <f>COLETA!Q$4</f>
        <v>46350</v>
      </c>
      <c r="P4" s="54">
        <f>COLETA!R$4</f>
        <v>46357</v>
      </c>
      <c r="Q4" s="57">
        <f>COLETA!S$4</f>
        <v>46364</v>
      </c>
      <c r="R4" s="54">
        <f>COLETA!T$4</f>
        <v>46371</v>
      </c>
      <c r="S4" s="57">
        <f>COLETA!U$4</f>
        <v>46378</v>
      </c>
      <c r="T4" s="54">
        <f>COLETA!V$4</f>
        <v>46385</v>
      </c>
      <c r="U4" s="57">
        <f>COLETA!W$4</f>
        <v>46392</v>
      </c>
      <c r="V4" s="54">
        <f>COLETA!X$4</f>
        <v>46399</v>
      </c>
      <c r="W4" s="57">
        <f>COLETA!Y$4</f>
        <v>46406</v>
      </c>
      <c r="X4" s="54">
        <f>COLETA!Z$4</f>
        <v>46413</v>
      </c>
      <c r="Y4" s="57">
        <f>COLETA!AA$4</f>
        <v>46420</v>
      </c>
      <c r="Z4" s="54">
        <f>COLETA!AB$4</f>
        <v>46427</v>
      </c>
      <c r="AA4" s="57">
        <f>COLETA!AC$4</f>
        <v>46434</v>
      </c>
      <c r="AB4" s="54">
        <f>COLETA!AD$4</f>
        <v>46441</v>
      </c>
    </row>
    <row r="5">
      <c r="A5" s="58" t="s">
        <v>20</v>
      </c>
      <c r="B5" s="31">
        <f>IF(COUNT(COLETA!D$5:D$39)=0,"",SUMPRODUCT((COLETA!$A$5:$A$39=$A5)*COLETA!D$5:D$39))</f>
        <v>3006848</v>
      </c>
      <c r="C5" s="31">
        <f>IF(COUNT(COLETA!E$5:E$39)=0,"",SUMPRODUCT((COLETA!$A$5:$A$39=$A5)*COLETA!E$5:E$39))</f>
        <v>0</v>
      </c>
      <c r="D5" s="31" t="str">
        <f>IF(COUNT(COLETA!F$5:F$39)=0,"",SUMPRODUCT((COLETA!$A$5:$A$39=$A5)*COLETA!F$5:F$39))</f>
        <v/>
      </c>
      <c r="E5" s="31" t="str">
        <f>IF(COUNT(COLETA!G$5:G$39)=0,"",SUMPRODUCT((COLETA!$A$5:$A$39=$A5)*COLETA!G$5:G$39))</f>
        <v/>
      </c>
      <c r="F5" s="31" t="str">
        <f>IF(COUNT(COLETA!H$5:H$39)=0,"",SUMPRODUCT((COLETA!$A$5:$A$39=$A5)*COLETA!H$5:H$39))</f>
        <v/>
      </c>
      <c r="G5" s="31" t="str">
        <f>IF(COUNT(COLETA!I$5:I$39)=0,"",SUMPRODUCT((COLETA!$A$5:$A$39=$A5)*COLETA!I$5:I$39))</f>
        <v/>
      </c>
      <c r="H5" s="31" t="str">
        <f>IF(COUNT(COLETA!J$5:J$39)=0,"",SUMPRODUCT((COLETA!$A$5:$A$39=$A5)*COLETA!J$5:J$39))</f>
        <v/>
      </c>
      <c r="I5" s="31" t="str">
        <f>IF(COUNT(COLETA!K$5:K$39)=0,"",SUMPRODUCT((COLETA!$A$5:$A$39=$A5)*COLETA!K$5:K$39))</f>
        <v/>
      </c>
      <c r="J5" s="31" t="str">
        <f>IF(COUNT(COLETA!L$5:L$39)=0,"",SUMPRODUCT((COLETA!$A$5:$A$39=$A5)*COLETA!L$5:L$39))</f>
        <v/>
      </c>
      <c r="K5" s="31" t="str">
        <f>IF(COUNT(COLETA!M$5:M$39)=0,"",SUMPRODUCT((COLETA!$A$5:$A$39=$A5)*COLETA!M$5:M$39))</f>
        <v/>
      </c>
      <c r="L5" s="31" t="str">
        <f>IF(COUNT(COLETA!N$5:N$39)=0,"",SUMPRODUCT((COLETA!$A$5:$A$39=$A5)*COLETA!N$5:N$39))</f>
        <v/>
      </c>
      <c r="M5" s="31" t="str">
        <f>IF(COUNT(COLETA!O$5:O$39)=0,"",SUMPRODUCT((COLETA!$A$5:$A$39=$A5)*COLETA!O$5:O$39))</f>
        <v/>
      </c>
      <c r="N5" s="31" t="str">
        <f>IF(COUNT(COLETA!P$5:P$39)=0,"",SUMPRODUCT((COLETA!$A$5:$A$39=$A5)*COLETA!P$5:P$39))</f>
        <v/>
      </c>
      <c r="O5" s="31" t="str">
        <f>IF(COUNT(COLETA!Q$5:Q$39)=0,"",SUMPRODUCT((COLETA!$A$5:$A$39=$A5)*COLETA!Q$5:Q$39))</f>
        <v/>
      </c>
      <c r="P5" s="31" t="str">
        <f>IF(COUNT(COLETA!R$5:R$39)=0,"",SUMPRODUCT((COLETA!$A$5:$A$39=$A5)*COLETA!R$5:R$39))</f>
        <v/>
      </c>
      <c r="Q5" s="31" t="str">
        <f>IF(COUNT(COLETA!S$5:S$39)=0,"",SUMPRODUCT((COLETA!$A$5:$A$39=$A5)*COLETA!S$5:S$39))</f>
        <v/>
      </c>
      <c r="R5" s="31" t="str">
        <f>IF(COUNT(COLETA!T$5:T$39)=0,"",SUMPRODUCT((COLETA!$A$5:$A$39=$A5)*COLETA!T$5:T$39))</f>
        <v/>
      </c>
      <c r="S5" s="31" t="str">
        <f>IF(COUNT(COLETA!U$5:U$39)=0,"",SUMPRODUCT((COLETA!$A$5:$A$39=$A5)*COLETA!U$5:U$39))</f>
        <v/>
      </c>
      <c r="T5" s="31" t="str">
        <f>IF(COUNT(COLETA!V$5:V$39)=0,"",SUMPRODUCT((COLETA!$A$5:$A$39=$A5)*COLETA!V$5:V$39))</f>
        <v/>
      </c>
      <c r="U5" s="31" t="str">
        <f>IF(COUNT(COLETA!W$5:W$39)=0,"",SUMPRODUCT((COLETA!$A$5:$A$39=$A5)*COLETA!W$5:W$39))</f>
        <v/>
      </c>
      <c r="V5" s="31" t="str">
        <f>IF(COUNT(COLETA!X$5:X$39)=0,"",SUMPRODUCT((COLETA!$A$5:$A$39=$A5)*COLETA!X$5:X$39))</f>
        <v/>
      </c>
      <c r="W5" s="31" t="str">
        <f>IF(COUNT(COLETA!Y$5:Y$39)=0,"",SUMPRODUCT((COLETA!$A$5:$A$39=$A5)*COLETA!Y$5:Y$39))</f>
        <v/>
      </c>
      <c r="X5" s="31" t="str">
        <f>IF(COUNT(COLETA!Z$5:Z$39)=0,"",SUMPRODUCT((COLETA!$A$5:$A$39=$A5)*COLETA!Z$5:Z$39))</f>
        <v/>
      </c>
      <c r="Y5" s="31" t="str">
        <f>IF(COUNT(COLETA!AA$5:AA$39)=0,"",SUMPRODUCT((COLETA!$A$5:$A$39=$A5)*COLETA!AA$5:AA$39))</f>
        <v/>
      </c>
      <c r="Z5" s="31" t="str">
        <f>IF(COUNT(COLETA!AB$5:AB$39)=0,"",SUMPRODUCT((COLETA!$A$5:$A$39=$A5)*COLETA!AB$5:AB$39))</f>
        <v/>
      </c>
      <c r="AA5" s="31" t="str">
        <f>IF(COUNT(COLETA!AC$5:AC$39)=0,"",SUMPRODUCT((COLETA!$A$5:$A$39=$A5)*COLETA!AC$5:AC$39))</f>
        <v/>
      </c>
      <c r="AB5" s="31" t="str">
        <f>IF(COUNT(COLETA!AD$5:AD$39)=0,"",SUMPRODUCT((COLETA!$A$5:$A$39=$A5)*COLETA!AD$5:AD$39))</f>
        <v/>
      </c>
    </row>
    <row r="6">
      <c r="A6" s="64" t="s">
        <v>24</v>
      </c>
      <c r="B6" s="40">
        <f>IF(COUNT(COLETA!D$5:D$39)=0,"",SUMPRODUCT((COLETA!$A$5:$A$39=$A6)*COLETA!D$5:D$39))</f>
        <v>13075000</v>
      </c>
      <c r="C6" s="40">
        <f>IF(COUNT(COLETA!E$5:E$39)=0,"",SUMPRODUCT((COLETA!$A$5:$A$39=$A6)*COLETA!E$5:E$39))</f>
        <v>0</v>
      </c>
      <c r="D6" s="40" t="str">
        <f>IF(COUNT(COLETA!F$5:F$39)=0,"",SUMPRODUCT((COLETA!$A$5:$A$39=$A6)*COLETA!F$5:F$39))</f>
        <v/>
      </c>
      <c r="E6" s="40" t="str">
        <f>IF(COUNT(COLETA!G$5:G$39)=0,"",SUMPRODUCT((COLETA!$A$5:$A$39=$A6)*COLETA!G$5:G$39))</f>
        <v/>
      </c>
      <c r="F6" s="40" t="str">
        <f>IF(COUNT(COLETA!H$5:H$39)=0,"",SUMPRODUCT((COLETA!$A$5:$A$39=$A6)*COLETA!H$5:H$39))</f>
        <v/>
      </c>
      <c r="G6" s="40" t="str">
        <f>IF(COUNT(COLETA!I$5:I$39)=0,"",SUMPRODUCT((COLETA!$A$5:$A$39=$A6)*COLETA!I$5:I$39))</f>
        <v/>
      </c>
      <c r="H6" s="40" t="str">
        <f>IF(COUNT(COLETA!J$5:J$39)=0,"",SUMPRODUCT((COLETA!$A$5:$A$39=$A6)*COLETA!J$5:J$39))</f>
        <v/>
      </c>
      <c r="I6" s="40" t="str">
        <f>IF(COUNT(COLETA!K$5:K$39)=0,"",SUMPRODUCT((COLETA!$A$5:$A$39=$A6)*COLETA!K$5:K$39))</f>
        <v/>
      </c>
      <c r="J6" s="40" t="str">
        <f>IF(COUNT(COLETA!L$5:L$39)=0,"",SUMPRODUCT((COLETA!$A$5:$A$39=$A6)*COLETA!L$5:L$39))</f>
        <v/>
      </c>
      <c r="K6" s="40" t="str">
        <f>IF(COUNT(COLETA!M$5:M$39)=0,"",SUMPRODUCT((COLETA!$A$5:$A$39=$A6)*COLETA!M$5:M$39))</f>
        <v/>
      </c>
      <c r="L6" s="40" t="str">
        <f>IF(COUNT(COLETA!N$5:N$39)=0,"",SUMPRODUCT((COLETA!$A$5:$A$39=$A6)*COLETA!N$5:N$39))</f>
        <v/>
      </c>
      <c r="M6" s="40" t="str">
        <f>IF(COUNT(COLETA!O$5:O$39)=0,"",SUMPRODUCT((COLETA!$A$5:$A$39=$A6)*COLETA!O$5:O$39))</f>
        <v/>
      </c>
      <c r="N6" s="40" t="str">
        <f>IF(COUNT(COLETA!P$5:P$39)=0,"",SUMPRODUCT((COLETA!$A$5:$A$39=$A6)*COLETA!P$5:P$39))</f>
        <v/>
      </c>
      <c r="O6" s="40" t="str">
        <f>IF(COUNT(COLETA!Q$5:Q$39)=0,"",SUMPRODUCT((COLETA!$A$5:$A$39=$A6)*COLETA!Q$5:Q$39))</f>
        <v/>
      </c>
      <c r="P6" s="40" t="str">
        <f>IF(COUNT(COLETA!R$5:R$39)=0,"",SUMPRODUCT((COLETA!$A$5:$A$39=$A6)*COLETA!R$5:R$39))</f>
        <v/>
      </c>
      <c r="Q6" s="40" t="str">
        <f>IF(COUNT(COLETA!S$5:S$39)=0,"",SUMPRODUCT((COLETA!$A$5:$A$39=$A6)*COLETA!S$5:S$39))</f>
        <v/>
      </c>
      <c r="R6" s="40" t="str">
        <f>IF(COUNT(COLETA!T$5:T$39)=0,"",SUMPRODUCT((COLETA!$A$5:$A$39=$A6)*COLETA!T$5:T$39))</f>
        <v/>
      </c>
      <c r="S6" s="40" t="str">
        <f>IF(COUNT(COLETA!U$5:U$39)=0,"",SUMPRODUCT((COLETA!$A$5:$A$39=$A6)*COLETA!U$5:U$39))</f>
        <v/>
      </c>
      <c r="T6" s="40" t="str">
        <f>IF(COUNT(COLETA!V$5:V$39)=0,"",SUMPRODUCT((COLETA!$A$5:$A$39=$A6)*COLETA!V$5:V$39))</f>
        <v/>
      </c>
      <c r="U6" s="40" t="str">
        <f>IF(COUNT(COLETA!W$5:W$39)=0,"",SUMPRODUCT((COLETA!$A$5:$A$39=$A6)*COLETA!W$5:W$39))</f>
        <v/>
      </c>
      <c r="V6" s="40" t="str">
        <f>IF(COUNT(COLETA!X$5:X$39)=0,"",SUMPRODUCT((COLETA!$A$5:$A$39=$A6)*COLETA!X$5:X$39))</f>
        <v/>
      </c>
      <c r="W6" s="40" t="str">
        <f>IF(COUNT(COLETA!Y$5:Y$39)=0,"",SUMPRODUCT((COLETA!$A$5:$A$39=$A6)*COLETA!Y$5:Y$39))</f>
        <v/>
      </c>
      <c r="X6" s="40" t="str">
        <f>IF(COUNT(COLETA!Z$5:Z$39)=0,"",SUMPRODUCT((COLETA!$A$5:$A$39=$A6)*COLETA!Z$5:Z$39))</f>
        <v/>
      </c>
      <c r="Y6" s="40" t="str">
        <f>IF(COUNT(COLETA!AA$5:AA$39)=0,"",SUMPRODUCT((COLETA!$A$5:$A$39=$A6)*COLETA!AA$5:AA$39))</f>
        <v/>
      </c>
      <c r="Z6" s="40" t="str">
        <f>IF(COUNT(COLETA!AB$5:AB$39)=0,"",SUMPRODUCT((COLETA!$A$5:$A$39=$A6)*COLETA!AB$5:AB$39))</f>
        <v/>
      </c>
      <c r="AA6" s="40" t="str">
        <f>IF(COUNT(COLETA!AC$5:AC$39)=0,"",SUMPRODUCT((COLETA!$A$5:$A$39=$A6)*COLETA!AC$5:AC$39))</f>
        <v/>
      </c>
      <c r="AB6" s="40" t="str">
        <f>IF(COUNT(COLETA!AD$5:AD$39)=0,"",SUMPRODUCT((COLETA!$A$5:$A$39=$A6)*COLETA!AD$5:AD$39))</f>
        <v/>
      </c>
    </row>
    <row r="7">
      <c r="A7" s="64" t="s">
        <v>52</v>
      </c>
      <c r="B7" s="40">
        <f>IF(COUNT(COLETA!D$5:D$39)=0,"",SUMPRODUCT((COLETA!$A$5:$A$39=$A7)*COLETA!D$5:D$39))</f>
        <v>4994100</v>
      </c>
      <c r="C7" s="40">
        <f>IF(COUNT(COLETA!E$5:E$39)=0,"",SUMPRODUCT((COLETA!$A$5:$A$39=$A7)*COLETA!E$5:E$39))</f>
        <v>0</v>
      </c>
      <c r="D7" s="40" t="str">
        <f>IF(COUNT(COLETA!F$5:F$39)=0,"",SUMPRODUCT((COLETA!$A$5:$A$39=$A7)*COLETA!F$5:F$39))</f>
        <v/>
      </c>
      <c r="E7" s="40" t="str">
        <f>IF(COUNT(COLETA!G$5:G$39)=0,"",SUMPRODUCT((COLETA!$A$5:$A$39=$A7)*COLETA!G$5:G$39))</f>
        <v/>
      </c>
      <c r="F7" s="40" t="str">
        <f>IF(COUNT(COLETA!H$5:H$39)=0,"",SUMPRODUCT((COLETA!$A$5:$A$39=$A7)*COLETA!H$5:H$39))</f>
        <v/>
      </c>
      <c r="G7" s="40" t="str">
        <f>IF(COUNT(COLETA!I$5:I$39)=0,"",SUMPRODUCT((COLETA!$A$5:$A$39=$A7)*COLETA!I$5:I$39))</f>
        <v/>
      </c>
      <c r="H7" s="40" t="str">
        <f>IF(COUNT(COLETA!J$5:J$39)=0,"",SUMPRODUCT((COLETA!$A$5:$A$39=$A7)*COLETA!J$5:J$39))</f>
        <v/>
      </c>
      <c r="I7" s="40" t="str">
        <f>IF(COUNT(COLETA!K$5:K$39)=0,"",SUMPRODUCT((COLETA!$A$5:$A$39=$A7)*COLETA!K$5:K$39))</f>
        <v/>
      </c>
      <c r="J7" s="40" t="str">
        <f>IF(COUNT(COLETA!L$5:L$39)=0,"",SUMPRODUCT((COLETA!$A$5:$A$39=$A7)*COLETA!L$5:L$39))</f>
        <v/>
      </c>
      <c r="K7" s="40" t="str">
        <f>IF(COUNT(COLETA!M$5:M$39)=0,"",SUMPRODUCT((COLETA!$A$5:$A$39=$A7)*COLETA!M$5:M$39))</f>
        <v/>
      </c>
      <c r="L7" s="40" t="str">
        <f>IF(COUNT(COLETA!N$5:N$39)=0,"",SUMPRODUCT((COLETA!$A$5:$A$39=$A7)*COLETA!N$5:N$39))</f>
        <v/>
      </c>
      <c r="M7" s="40" t="str">
        <f>IF(COUNT(COLETA!O$5:O$39)=0,"",SUMPRODUCT((COLETA!$A$5:$A$39=$A7)*COLETA!O$5:O$39))</f>
        <v/>
      </c>
      <c r="N7" s="40" t="str">
        <f>IF(COUNT(COLETA!P$5:P$39)=0,"",SUMPRODUCT((COLETA!$A$5:$A$39=$A7)*COLETA!P$5:P$39))</f>
        <v/>
      </c>
      <c r="O7" s="40" t="str">
        <f>IF(COUNT(COLETA!Q$5:Q$39)=0,"",SUMPRODUCT((COLETA!$A$5:$A$39=$A7)*COLETA!Q$5:Q$39))</f>
        <v/>
      </c>
      <c r="P7" s="40" t="str">
        <f>IF(COUNT(COLETA!R$5:R$39)=0,"",SUMPRODUCT((COLETA!$A$5:$A$39=$A7)*COLETA!R$5:R$39))</f>
        <v/>
      </c>
      <c r="Q7" s="40" t="str">
        <f>IF(COUNT(COLETA!S$5:S$39)=0,"",SUMPRODUCT((COLETA!$A$5:$A$39=$A7)*COLETA!S$5:S$39))</f>
        <v/>
      </c>
      <c r="R7" s="40" t="str">
        <f>IF(COUNT(COLETA!T$5:T$39)=0,"",SUMPRODUCT((COLETA!$A$5:$A$39=$A7)*COLETA!T$5:T$39))</f>
        <v/>
      </c>
      <c r="S7" s="40" t="str">
        <f>IF(COUNT(COLETA!U$5:U$39)=0,"",SUMPRODUCT((COLETA!$A$5:$A$39=$A7)*COLETA!U$5:U$39))</f>
        <v/>
      </c>
      <c r="T7" s="40" t="str">
        <f>IF(COUNT(COLETA!V$5:V$39)=0,"",SUMPRODUCT((COLETA!$A$5:$A$39=$A7)*COLETA!V$5:V$39))</f>
        <v/>
      </c>
      <c r="U7" s="40" t="str">
        <f>IF(COUNT(COLETA!W$5:W$39)=0,"",SUMPRODUCT((COLETA!$A$5:$A$39=$A7)*COLETA!W$5:W$39))</f>
        <v/>
      </c>
      <c r="V7" s="40" t="str">
        <f>IF(COUNT(COLETA!X$5:X$39)=0,"",SUMPRODUCT((COLETA!$A$5:$A$39=$A7)*COLETA!X$5:X$39))</f>
        <v/>
      </c>
      <c r="W7" s="40" t="str">
        <f>IF(COUNT(COLETA!Y$5:Y$39)=0,"",SUMPRODUCT((COLETA!$A$5:$A$39=$A7)*COLETA!Y$5:Y$39))</f>
        <v/>
      </c>
      <c r="X7" s="40" t="str">
        <f>IF(COUNT(COLETA!Z$5:Z$39)=0,"",SUMPRODUCT((COLETA!$A$5:$A$39=$A7)*COLETA!Z$5:Z$39))</f>
        <v/>
      </c>
      <c r="Y7" s="40" t="str">
        <f>IF(COUNT(COLETA!AA$5:AA$39)=0,"",SUMPRODUCT((COLETA!$A$5:$A$39=$A7)*COLETA!AA$5:AA$39))</f>
        <v/>
      </c>
      <c r="Z7" s="40" t="str">
        <f>IF(COUNT(COLETA!AB$5:AB$39)=0,"",SUMPRODUCT((COLETA!$A$5:$A$39=$A7)*COLETA!AB$5:AB$39))</f>
        <v/>
      </c>
      <c r="AA7" s="40" t="str">
        <f>IF(COUNT(COLETA!AC$5:AC$39)=0,"",SUMPRODUCT((COLETA!$A$5:$A$39=$A7)*COLETA!AC$5:AC$39))</f>
        <v/>
      </c>
      <c r="AB7" s="40" t="str">
        <f>IF(COUNT(COLETA!AD$5:AD$39)=0,"",SUMPRODUCT((COLETA!$A$5:$A$39=$A7)*COLETA!AD$5:AD$39))</f>
        <v/>
      </c>
    </row>
    <row r="8">
      <c r="A8" s="64" t="s">
        <v>55</v>
      </c>
      <c r="B8" s="40">
        <f>IF(COUNT(COLETA!D$5:D$39)=0,"",SUMPRODUCT((COLETA!$A$5:$A$39=$A8)*COLETA!D$5:D$39))</f>
        <v>1933301</v>
      </c>
      <c r="C8" s="40">
        <f>IF(COUNT(COLETA!E$5:E$39)=0,"",SUMPRODUCT((COLETA!$A$5:$A$39=$A8)*COLETA!E$5:E$39))</f>
        <v>0</v>
      </c>
      <c r="D8" s="40" t="str">
        <f>IF(COUNT(COLETA!F$5:F$39)=0,"",SUMPRODUCT((COLETA!$A$5:$A$39=$A8)*COLETA!F$5:F$39))</f>
        <v/>
      </c>
      <c r="E8" s="40" t="str">
        <f>IF(COUNT(COLETA!G$5:G$39)=0,"",SUMPRODUCT((COLETA!$A$5:$A$39=$A8)*COLETA!G$5:G$39))</f>
        <v/>
      </c>
      <c r="F8" s="40" t="str">
        <f>IF(COUNT(COLETA!H$5:H$39)=0,"",SUMPRODUCT((COLETA!$A$5:$A$39=$A8)*COLETA!H$5:H$39))</f>
        <v/>
      </c>
      <c r="G8" s="40" t="str">
        <f>IF(COUNT(COLETA!I$5:I$39)=0,"",SUMPRODUCT((COLETA!$A$5:$A$39=$A8)*COLETA!I$5:I$39))</f>
        <v/>
      </c>
      <c r="H8" s="40" t="str">
        <f>IF(COUNT(COLETA!J$5:J$39)=0,"",SUMPRODUCT((COLETA!$A$5:$A$39=$A8)*COLETA!J$5:J$39))</f>
        <v/>
      </c>
      <c r="I8" s="40" t="str">
        <f>IF(COUNT(COLETA!K$5:K$39)=0,"",SUMPRODUCT((COLETA!$A$5:$A$39=$A8)*COLETA!K$5:K$39))</f>
        <v/>
      </c>
      <c r="J8" s="40" t="str">
        <f>IF(COUNT(COLETA!L$5:L$39)=0,"",SUMPRODUCT((COLETA!$A$5:$A$39=$A8)*COLETA!L$5:L$39))</f>
        <v/>
      </c>
      <c r="K8" s="40" t="str">
        <f>IF(COUNT(COLETA!M$5:M$39)=0,"",SUMPRODUCT((COLETA!$A$5:$A$39=$A8)*COLETA!M$5:M$39))</f>
        <v/>
      </c>
      <c r="L8" s="40" t="str">
        <f>IF(COUNT(COLETA!N$5:N$39)=0,"",SUMPRODUCT((COLETA!$A$5:$A$39=$A8)*COLETA!N$5:N$39))</f>
        <v/>
      </c>
      <c r="M8" s="40" t="str">
        <f>IF(COUNT(COLETA!O$5:O$39)=0,"",SUMPRODUCT((COLETA!$A$5:$A$39=$A8)*COLETA!O$5:O$39))</f>
        <v/>
      </c>
      <c r="N8" s="40" t="str">
        <f>IF(COUNT(COLETA!P$5:P$39)=0,"",SUMPRODUCT((COLETA!$A$5:$A$39=$A8)*COLETA!P$5:P$39))</f>
        <v/>
      </c>
      <c r="O8" s="40" t="str">
        <f>IF(COUNT(COLETA!Q$5:Q$39)=0,"",SUMPRODUCT((COLETA!$A$5:$A$39=$A8)*COLETA!Q$5:Q$39))</f>
        <v/>
      </c>
      <c r="P8" s="40" t="str">
        <f>IF(COUNT(COLETA!R$5:R$39)=0,"",SUMPRODUCT((COLETA!$A$5:$A$39=$A8)*COLETA!R$5:R$39))</f>
        <v/>
      </c>
      <c r="Q8" s="40" t="str">
        <f>IF(COUNT(COLETA!S$5:S$39)=0,"",SUMPRODUCT((COLETA!$A$5:$A$39=$A8)*COLETA!S$5:S$39))</f>
        <v/>
      </c>
      <c r="R8" s="40" t="str">
        <f>IF(COUNT(COLETA!T$5:T$39)=0,"",SUMPRODUCT((COLETA!$A$5:$A$39=$A8)*COLETA!T$5:T$39))</f>
        <v/>
      </c>
      <c r="S8" s="40" t="str">
        <f>IF(COUNT(COLETA!U$5:U$39)=0,"",SUMPRODUCT((COLETA!$A$5:$A$39=$A8)*COLETA!U$5:U$39))</f>
        <v/>
      </c>
      <c r="T8" s="40" t="str">
        <f>IF(COUNT(COLETA!V$5:V$39)=0,"",SUMPRODUCT((COLETA!$A$5:$A$39=$A8)*COLETA!V$5:V$39))</f>
        <v/>
      </c>
      <c r="U8" s="40" t="str">
        <f>IF(COUNT(COLETA!W$5:W$39)=0,"",SUMPRODUCT((COLETA!$A$5:$A$39=$A8)*COLETA!W$5:W$39))</f>
        <v/>
      </c>
      <c r="V8" s="40" t="str">
        <f>IF(COUNT(COLETA!X$5:X$39)=0,"",SUMPRODUCT((COLETA!$A$5:$A$39=$A8)*COLETA!X$5:X$39))</f>
        <v/>
      </c>
      <c r="W8" s="40" t="str">
        <f>IF(COUNT(COLETA!Y$5:Y$39)=0,"",SUMPRODUCT((COLETA!$A$5:$A$39=$A8)*COLETA!Y$5:Y$39))</f>
        <v/>
      </c>
      <c r="X8" s="40" t="str">
        <f>IF(COUNT(COLETA!Z$5:Z$39)=0,"",SUMPRODUCT((COLETA!$A$5:$A$39=$A8)*COLETA!Z$5:Z$39))</f>
        <v/>
      </c>
      <c r="Y8" s="40" t="str">
        <f>IF(COUNT(COLETA!AA$5:AA$39)=0,"",SUMPRODUCT((COLETA!$A$5:$A$39=$A8)*COLETA!AA$5:AA$39))</f>
        <v/>
      </c>
      <c r="Z8" s="40" t="str">
        <f>IF(COUNT(COLETA!AB$5:AB$39)=0,"",SUMPRODUCT((COLETA!$A$5:$A$39=$A8)*COLETA!AB$5:AB$39))</f>
        <v/>
      </c>
      <c r="AA8" s="40" t="str">
        <f>IF(COUNT(COLETA!AC$5:AC$39)=0,"",SUMPRODUCT((COLETA!$A$5:$A$39=$A8)*COLETA!AC$5:AC$39))</f>
        <v/>
      </c>
      <c r="AB8" s="40" t="str">
        <f>IF(COUNT(COLETA!AD$5:AD$39)=0,"",SUMPRODUCT((COLETA!$A$5:$A$39=$A8)*COLETA!AD$5:AD$39))</f>
        <v/>
      </c>
    </row>
    <row r="9">
      <c r="A9" s="64" t="s">
        <v>58</v>
      </c>
      <c r="B9" s="40">
        <f>IF(COUNT(COLETA!D$5:D$39)=0,"",SUMPRODUCT((COLETA!$A$5:$A$39=$A9)*COLETA!D$5:D$39))</f>
        <v>745601</v>
      </c>
      <c r="C9" s="40">
        <f>IF(COUNT(COLETA!E$5:E$39)=0,"",SUMPRODUCT((COLETA!$A$5:$A$39=$A9)*COLETA!E$5:E$39))</f>
        <v>0</v>
      </c>
      <c r="D9" s="40" t="str">
        <f>IF(COUNT(COLETA!F$5:F$39)=0,"",SUMPRODUCT((COLETA!$A$5:$A$39=$A9)*COLETA!F$5:F$39))</f>
        <v/>
      </c>
      <c r="E9" s="40" t="str">
        <f>IF(COUNT(COLETA!G$5:G$39)=0,"",SUMPRODUCT((COLETA!$A$5:$A$39=$A9)*COLETA!G$5:G$39))</f>
        <v/>
      </c>
      <c r="F9" s="40" t="str">
        <f>IF(COUNT(COLETA!H$5:H$39)=0,"",SUMPRODUCT((COLETA!$A$5:$A$39=$A9)*COLETA!H$5:H$39))</f>
        <v/>
      </c>
      <c r="G9" s="40" t="str">
        <f>IF(COUNT(COLETA!I$5:I$39)=0,"",SUMPRODUCT((COLETA!$A$5:$A$39=$A9)*COLETA!I$5:I$39))</f>
        <v/>
      </c>
      <c r="H9" s="40" t="str">
        <f>IF(COUNT(COLETA!J$5:J$39)=0,"",SUMPRODUCT((COLETA!$A$5:$A$39=$A9)*COLETA!J$5:J$39))</f>
        <v/>
      </c>
      <c r="I9" s="40" t="str">
        <f>IF(COUNT(COLETA!K$5:K$39)=0,"",SUMPRODUCT((COLETA!$A$5:$A$39=$A9)*COLETA!K$5:K$39))</f>
        <v/>
      </c>
      <c r="J9" s="40" t="str">
        <f>IF(COUNT(COLETA!L$5:L$39)=0,"",SUMPRODUCT((COLETA!$A$5:$A$39=$A9)*COLETA!L$5:L$39))</f>
        <v/>
      </c>
      <c r="K9" s="40" t="str">
        <f>IF(COUNT(COLETA!M$5:M$39)=0,"",SUMPRODUCT((COLETA!$A$5:$A$39=$A9)*COLETA!M$5:M$39))</f>
        <v/>
      </c>
      <c r="L9" s="40" t="str">
        <f>IF(COUNT(COLETA!N$5:N$39)=0,"",SUMPRODUCT((COLETA!$A$5:$A$39=$A9)*COLETA!N$5:N$39))</f>
        <v/>
      </c>
      <c r="M9" s="40" t="str">
        <f>IF(COUNT(COLETA!O$5:O$39)=0,"",SUMPRODUCT((COLETA!$A$5:$A$39=$A9)*COLETA!O$5:O$39))</f>
        <v/>
      </c>
      <c r="N9" s="40" t="str">
        <f>IF(COUNT(COLETA!P$5:P$39)=0,"",SUMPRODUCT((COLETA!$A$5:$A$39=$A9)*COLETA!P$5:P$39))</f>
        <v/>
      </c>
      <c r="O9" s="40" t="str">
        <f>IF(COUNT(COLETA!Q$5:Q$39)=0,"",SUMPRODUCT((COLETA!$A$5:$A$39=$A9)*COLETA!Q$5:Q$39))</f>
        <v/>
      </c>
      <c r="P9" s="40" t="str">
        <f>IF(COUNT(COLETA!R$5:R$39)=0,"",SUMPRODUCT((COLETA!$A$5:$A$39=$A9)*COLETA!R$5:R$39))</f>
        <v/>
      </c>
      <c r="Q9" s="40" t="str">
        <f>IF(COUNT(COLETA!S$5:S$39)=0,"",SUMPRODUCT((COLETA!$A$5:$A$39=$A9)*COLETA!S$5:S$39))</f>
        <v/>
      </c>
      <c r="R9" s="40" t="str">
        <f>IF(COUNT(COLETA!T$5:T$39)=0,"",SUMPRODUCT((COLETA!$A$5:$A$39=$A9)*COLETA!T$5:T$39))</f>
        <v/>
      </c>
      <c r="S9" s="40" t="str">
        <f>IF(COUNT(COLETA!U$5:U$39)=0,"",SUMPRODUCT((COLETA!$A$5:$A$39=$A9)*COLETA!U$5:U$39))</f>
        <v/>
      </c>
      <c r="T9" s="40" t="str">
        <f>IF(COUNT(COLETA!V$5:V$39)=0,"",SUMPRODUCT((COLETA!$A$5:$A$39=$A9)*COLETA!V$5:V$39))</f>
        <v/>
      </c>
      <c r="U9" s="40" t="str">
        <f>IF(COUNT(COLETA!W$5:W$39)=0,"",SUMPRODUCT((COLETA!$A$5:$A$39=$A9)*COLETA!W$5:W$39))</f>
        <v/>
      </c>
      <c r="V9" s="40" t="str">
        <f>IF(COUNT(COLETA!X$5:X$39)=0,"",SUMPRODUCT((COLETA!$A$5:$A$39=$A9)*COLETA!X$5:X$39))</f>
        <v/>
      </c>
      <c r="W9" s="40" t="str">
        <f>IF(COUNT(COLETA!Y$5:Y$39)=0,"",SUMPRODUCT((COLETA!$A$5:$A$39=$A9)*COLETA!Y$5:Y$39))</f>
        <v/>
      </c>
      <c r="X9" s="40" t="str">
        <f>IF(COUNT(COLETA!Z$5:Z$39)=0,"",SUMPRODUCT((COLETA!$A$5:$A$39=$A9)*COLETA!Z$5:Z$39))</f>
        <v/>
      </c>
      <c r="Y9" s="40" t="str">
        <f>IF(COUNT(COLETA!AA$5:AA$39)=0,"",SUMPRODUCT((COLETA!$A$5:$A$39=$A9)*COLETA!AA$5:AA$39))</f>
        <v/>
      </c>
      <c r="Z9" s="40" t="str">
        <f>IF(COUNT(COLETA!AB$5:AB$39)=0,"",SUMPRODUCT((COLETA!$A$5:$A$39=$A9)*COLETA!AB$5:AB$39))</f>
        <v/>
      </c>
      <c r="AA9" s="40" t="str">
        <f>IF(COUNT(COLETA!AC$5:AC$39)=0,"",SUMPRODUCT((COLETA!$A$5:$A$39=$A9)*COLETA!AC$5:AC$39))</f>
        <v/>
      </c>
      <c r="AB9" s="40" t="str">
        <f>IF(COUNT(COLETA!AD$5:AD$39)=0,"",SUMPRODUCT((COLETA!$A$5:$A$39=$A9)*COLETA!AD$5:AD$39))</f>
        <v/>
      </c>
    </row>
    <row r="10">
      <c r="A10" s="64" t="s">
        <v>59</v>
      </c>
      <c r="B10" s="40">
        <f>IF(COUNT(COLETA!D$5:D$39)=0,"",SUMPRODUCT((COLETA!$A$5:$A$39=$A10)*COLETA!D$5:D$39))</f>
        <v>1165000</v>
      </c>
      <c r="C10" s="40">
        <f>IF(COUNT(COLETA!E$5:E$39)=0,"",SUMPRODUCT((COLETA!$A$5:$A$39=$A10)*COLETA!E$5:E$39))</f>
        <v>0</v>
      </c>
      <c r="D10" s="40" t="str">
        <f>IF(COUNT(COLETA!F$5:F$39)=0,"",SUMPRODUCT((COLETA!$A$5:$A$39=$A10)*COLETA!F$5:F$39))</f>
        <v/>
      </c>
      <c r="E10" s="40" t="str">
        <f>IF(COUNT(COLETA!G$5:G$39)=0,"",SUMPRODUCT((COLETA!$A$5:$A$39=$A10)*COLETA!G$5:G$39))</f>
        <v/>
      </c>
      <c r="F10" s="40" t="str">
        <f>IF(COUNT(COLETA!H$5:H$39)=0,"",SUMPRODUCT((COLETA!$A$5:$A$39=$A10)*COLETA!H$5:H$39))</f>
        <v/>
      </c>
      <c r="G10" s="40" t="str">
        <f>IF(COUNT(COLETA!I$5:I$39)=0,"",SUMPRODUCT((COLETA!$A$5:$A$39=$A10)*COLETA!I$5:I$39))</f>
        <v/>
      </c>
      <c r="H10" s="40" t="str">
        <f>IF(COUNT(COLETA!J$5:J$39)=0,"",SUMPRODUCT((COLETA!$A$5:$A$39=$A10)*COLETA!J$5:J$39))</f>
        <v/>
      </c>
      <c r="I10" s="40" t="str">
        <f>IF(COUNT(COLETA!K$5:K$39)=0,"",SUMPRODUCT((COLETA!$A$5:$A$39=$A10)*COLETA!K$5:K$39))</f>
        <v/>
      </c>
      <c r="J10" s="40" t="str">
        <f>IF(COUNT(COLETA!L$5:L$39)=0,"",SUMPRODUCT((COLETA!$A$5:$A$39=$A10)*COLETA!L$5:L$39))</f>
        <v/>
      </c>
      <c r="K10" s="40" t="str">
        <f>IF(COUNT(COLETA!M$5:M$39)=0,"",SUMPRODUCT((COLETA!$A$5:$A$39=$A10)*COLETA!M$5:M$39))</f>
        <v/>
      </c>
      <c r="L10" s="40" t="str">
        <f>IF(COUNT(COLETA!N$5:N$39)=0,"",SUMPRODUCT((COLETA!$A$5:$A$39=$A10)*COLETA!N$5:N$39))</f>
        <v/>
      </c>
      <c r="M10" s="40" t="str">
        <f>IF(COUNT(COLETA!O$5:O$39)=0,"",SUMPRODUCT((COLETA!$A$5:$A$39=$A10)*COLETA!O$5:O$39))</f>
        <v/>
      </c>
      <c r="N10" s="40" t="str">
        <f>IF(COUNT(COLETA!P$5:P$39)=0,"",SUMPRODUCT((COLETA!$A$5:$A$39=$A10)*COLETA!P$5:P$39))</f>
        <v/>
      </c>
      <c r="O10" s="40" t="str">
        <f>IF(COUNT(COLETA!Q$5:Q$39)=0,"",SUMPRODUCT((COLETA!$A$5:$A$39=$A10)*COLETA!Q$5:Q$39))</f>
        <v/>
      </c>
      <c r="P10" s="40" t="str">
        <f>IF(COUNT(COLETA!R$5:R$39)=0,"",SUMPRODUCT((COLETA!$A$5:$A$39=$A10)*COLETA!R$5:R$39))</f>
        <v/>
      </c>
      <c r="Q10" s="40" t="str">
        <f>IF(COUNT(COLETA!S$5:S$39)=0,"",SUMPRODUCT((COLETA!$A$5:$A$39=$A10)*COLETA!S$5:S$39))</f>
        <v/>
      </c>
      <c r="R10" s="40" t="str">
        <f>IF(COUNT(COLETA!T$5:T$39)=0,"",SUMPRODUCT((COLETA!$A$5:$A$39=$A10)*COLETA!T$5:T$39))</f>
        <v/>
      </c>
      <c r="S10" s="40" t="str">
        <f>IF(COUNT(COLETA!U$5:U$39)=0,"",SUMPRODUCT((COLETA!$A$5:$A$39=$A10)*COLETA!U$5:U$39))</f>
        <v/>
      </c>
      <c r="T10" s="40" t="str">
        <f>IF(COUNT(COLETA!V$5:V$39)=0,"",SUMPRODUCT((COLETA!$A$5:$A$39=$A10)*COLETA!V$5:V$39))</f>
        <v/>
      </c>
      <c r="U10" s="40" t="str">
        <f>IF(COUNT(COLETA!W$5:W$39)=0,"",SUMPRODUCT((COLETA!$A$5:$A$39=$A10)*COLETA!W$5:W$39))</f>
        <v/>
      </c>
      <c r="V10" s="40" t="str">
        <f>IF(COUNT(COLETA!X$5:X$39)=0,"",SUMPRODUCT((COLETA!$A$5:$A$39=$A10)*COLETA!X$5:X$39))</f>
        <v/>
      </c>
      <c r="W10" s="40" t="str">
        <f>IF(COUNT(COLETA!Y$5:Y$39)=0,"",SUMPRODUCT((COLETA!$A$5:$A$39=$A10)*COLETA!Y$5:Y$39))</f>
        <v/>
      </c>
      <c r="X10" s="40" t="str">
        <f>IF(COUNT(COLETA!Z$5:Z$39)=0,"",SUMPRODUCT((COLETA!$A$5:$A$39=$A10)*COLETA!Z$5:Z$39))</f>
        <v/>
      </c>
      <c r="Y10" s="40" t="str">
        <f>IF(COUNT(COLETA!AA$5:AA$39)=0,"",SUMPRODUCT((COLETA!$A$5:$A$39=$A10)*COLETA!AA$5:AA$39))</f>
        <v/>
      </c>
      <c r="Z10" s="40" t="str">
        <f>IF(COUNT(COLETA!AB$5:AB$39)=0,"",SUMPRODUCT((COLETA!$A$5:$A$39=$A10)*COLETA!AB$5:AB$39))</f>
        <v/>
      </c>
      <c r="AA10" s="40" t="str">
        <f>IF(COUNT(COLETA!AC$5:AC$39)=0,"",SUMPRODUCT((COLETA!$A$5:$A$39=$A10)*COLETA!AC$5:AC$39))</f>
        <v/>
      </c>
      <c r="AB10" s="40" t="str">
        <f>IF(COUNT(COLETA!AD$5:AD$39)=0,"",SUMPRODUCT((COLETA!$A$5:$A$39=$A10)*COLETA!AD$5:AD$39))</f>
        <v/>
      </c>
    </row>
    <row r="11">
      <c r="A11" s="64" t="s">
        <v>61</v>
      </c>
      <c r="B11" s="40">
        <f>IF(COUNT(COLETA!D$5:D$39)=0,"",SUMPRODUCT((COLETA!$A$5:$A$39=$A11)*COLETA!D$5:D$39))</f>
        <v>1935600</v>
      </c>
      <c r="C11" s="40">
        <f>IF(COUNT(COLETA!E$5:E$39)=0,"",SUMPRODUCT((COLETA!$A$5:$A$39=$A11)*COLETA!E$5:E$39))</f>
        <v>0</v>
      </c>
      <c r="D11" s="40" t="str">
        <f>IF(COUNT(COLETA!F$5:F$39)=0,"",SUMPRODUCT((COLETA!$A$5:$A$39=$A11)*COLETA!F$5:F$39))</f>
        <v/>
      </c>
      <c r="E11" s="40" t="str">
        <f>IF(COUNT(COLETA!G$5:G$39)=0,"",SUMPRODUCT((COLETA!$A$5:$A$39=$A11)*COLETA!G$5:G$39))</f>
        <v/>
      </c>
      <c r="F11" s="40" t="str">
        <f>IF(COUNT(COLETA!H$5:H$39)=0,"",SUMPRODUCT((COLETA!$A$5:$A$39=$A11)*COLETA!H$5:H$39))</f>
        <v/>
      </c>
      <c r="G11" s="40" t="str">
        <f>IF(COUNT(COLETA!I$5:I$39)=0,"",SUMPRODUCT((COLETA!$A$5:$A$39=$A11)*COLETA!I$5:I$39))</f>
        <v/>
      </c>
      <c r="H11" s="40" t="str">
        <f>IF(COUNT(COLETA!J$5:J$39)=0,"",SUMPRODUCT((COLETA!$A$5:$A$39=$A11)*COLETA!J$5:J$39))</f>
        <v/>
      </c>
      <c r="I11" s="40" t="str">
        <f>IF(COUNT(COLETA!K$5:K$39)=0,"",SUMPRODUCT((COLETA!$A$5:$A$39=$A11)*COLETA!K$5:K$39))</f>
        <v/>
      </c>
      <c r="J11" s="40" t="str">
        <f>IF(COUNT(COLETA!L$5:L$39)=0,"",SUMPRODUCT((COLETA!$A$5:$A$39=$A11)*COLETA!L$5:L$39))</f>
        <v/>
      </c>
      <c r="K11" s="40" t="str">
        <f>IF(COUNT(COLETA!M$5:M$39)=0,"",SUMPRODUCT((COLETA!$A$5:$A$39=$A11)*COLETA!M$5:M$39))</f>
        <v/>
      </c>
      <c r="L11" s="40" t="str">
        <f>IF(COUNT(COLETA!N$5:N$39)=0,"",SUMPRODUCT((COLETA!$A$5:$A$39=$A11)*COLETA!N$5:N$39))</f>
        <v/>
      </c>
      <c r="M11" s="40" t="str">
        <f>IF(COUNT(COLETA!O$5:O$39)=0,"",SUMPRODUCT((COLETA!$A$5:$A$39=$A11)*COLETA!O$5:O$39))</f>
        <v/>
      </c>
      <c r="N11" s="40" t="str">
        <f>IF(COUNT(COLETA!P$5:P$39)=0,"",SUMPRODUCT((COLETA!$A$5:$A$39=$A11)*COLETA!P$5:P$39))</f>
        <v/>
      </c>
      <c r="O11" s="40" t="str">
        <f>IF(COUNT(COLETA!Q$5:Q$39)=0,"",SUMPRODUCT((COLETA!$A$5:$A$39=$A11)*COLETA!Q$5:Q$39))</f>
        <v/>
      </c>
      <c r="P11" s="40" t="str">
        <f>IF(COUNT(COLETA!R$5:R$39)=0,"",SUMPRODUCT((COLETA!$A$5:$A$39=$A11)*COLETA!R$5:R$39))</f>
        <v/>
      </c>
      <c r="Q11" s="40" t="str">
        <f>IF(COUNT(COLETA!S$5:S$39)=0,"",SUMPRODUCT((COLETA!$A$5:$A$39=$A11)*COLETA!S$5:S$39))</f>
        <v/>
      </c>
      <c r="R11" s="40" t="str">
        <f>IF(COUNT(COLETA!T$5:T$39)=0,"",SUMPRODUCT((COLETA!$A$5:$A$39=$A11)*COLETA!T$5:T$39))</f>
        <v/>
      </c>
      <c r="S11" s="40" t="str">
        <f>IF(COUNT(COLETA!U$5:U$39)=0,"",SUMPRODUCT((COLETA!$A$5:$A$39=$A11)*COLETA!U$5:U$39))</f>
        <v/>
      </c>
      <c r="T11" s="40" t="str">
        <f>IF(COUNT(COLETA!V$5:V$39)=0,"",SUMPRODUCT((COLETA!$A$5:$A$39=$A11)*COLETA!V$5:V$39))</f>
        <v/>
      </c>
      <c r="U11" s="40" t="str">
        <f>IF(COUNT(COLETA!W$5:W$39)=0,"",SUMPRODUCT((COLETA!$A$5:$A$39=$A11)*COLETA!W$5:W$39))</f>
        <v/>
      </c>
      <c r="V11" s="40" t="str">
        <f>IF(COUNT(COLETA!X$5:X$39)=0,"",SUMPRODUCT((COLETA!$A$5:$A$39=$A11)*COLETA!X$5:X$39))</f>
        <v/>
      </c>
      <c r="W11" s="40" t="str">
        <f>IF(COUNT(COLETA!Y$5:Y$39)=0,"",SUMPRODUCT((COLETA!$A$5:$A$39=$A11)*COLETA!Y$5:Y$39))</f>
        <v/>
      </c>
      <c r="X11" s="40" t="str">
        <f>IF(COUNT(COLETA!Z$5:Z$39)=0,"",SUMPRODUCT((COLETA!$A$5:$A$39=$A11)*COLETA!Z$5:Z$39))</f>
        <v/>
      </c>
      <c r="Y11" s="40" t="str">
        <f>IF(COUNT(COLETA!AA$5:AA$39)=0,"",SUMPRODUCT((COLETA!$A$5:$A$39=$A11)*COLETA!AA$5:AA$39))</f>
        <v/>
      </c>
      <c r="Z11" s="40" t="str">
        <f>IF(COUNT(COLETA!AB$5:AB$39)=0,"",SUMPRODUCT((COLETA!$A$5:$A$39=$A11)*COLETA!AB$5:AB$39))</f>
        <v/>
      </c>
      <c r="AA11" s="40" t="str">
        <f>IF(COUNT(COLETA!AC$5:AC$39)=0,"",SUMPRODUCT((COLETA!$A$5:$A$39=$A11)*COLETA!AC$5:AC$39))</f>
        <v/>
      </c>
      <c r="AB11" s="40" t="str">
        <f>IF(COUNT(COLETA!AD$5:AD$39)=0,"",SUMPRODUCT((COLETA!$A$5:$A$39=$A11)*COLETA!AD$5:AD$39))</f>
        <v/>
      </c>
    </row>
    <row r="12">
      <c r="A12" s="12" t="s">
        <v>98</v>
      </c>
      <c r="B12" s="70">
        <f t="shared" ref="B12:AB12" si="1">IF(B5="","",SUM(B6:B11))</f>
        <v>23848602</v>
      </c>
      <c r="C12" s="70">
        <f t="shared" si="1"/>
        <v>0</v>
      </c>
      <c r="D12" s="70" t="str">
        <f t="shared" si="1"/>
        <v/>
      </c>
      <c r="E12" s="70" t="str">
        <f t="shared" si="1"/>
        <v/>
      </c>
      <c r="F12" s="70" t="str">
        <f t="shared" si="1"/>
        <v/>
      </c>
      <c r="G12" s="70" t="str">
        <f t="shared" si="1"/>
        <v/>
      </c>
      <c r="H12" s="70" t="str">
        <f t="shared" si="1"/>
        <v/>
      </c>
      <c r="I12" s="70" t="str">
        <f t="shared" si="1"/>
        <v/>
      </c>
      <c r="J12" s="70" t="str">
        <f t="shared" si="1"/>
        <v/>
      </c>
      <c r="K12" s="70" t="str">
        <f t="shared" si="1"/>
        <v/>
      </c>
      <c r="L12" s="70" t="str">
        <f t="shared" si="1"/>
        <v/>
      </c>
      <c r="M12" s="70" t="str">
        <f t="shared" si="1"/>
        <v/>
      </c>
      <c r="N12" s="70" t="str">
        <f t="shared" si="1"/>
        <v/>
      </c>
      <c r="O12" s="70" t="str">
        <f t="shared" si="1"/>
        <v/>
      </c>
      <c r="P12" s="70" t="str">
        <f t="shared" si="1"/>
        <v/>
      </c>
      <c r="Q12" s="70" t="str">
        <f t="shared" si="1"/>
        <v/>
      </c>
      <c r="R12" s="70" t="str">
        <f t="shared" si="1"/>
        <v/>
      </c>
      <c r="S12" s="70" t="str">
        <f t="shared" si="1"/>
        <v/>
      </c>
      <c r="T12" s="70" t="str">
        <f t="shared" si="1"/>
        <v/>
      </c>
      <c r="U12" s="70" t="str">
        <f t="shared" si="1"/>
        <v/>
      </c>
      <c r="V12" s="70" t="str">
        <f t="shared" si="1"/>
        <v/>
      </c>
      <c r="W12" s="70" t="str">
        <f t="shared" si="1"/>
        <v/>
      </c>
      <c r="X12" s="70" t="str">
        <f t="shared" si="1"/>
        <v/>
      </c>
      <c r="Y12" s="70" t="str">
        <f t="shared" si="1"/>
        <v/>
      </c>
      <c r="Z12" s="70" t="str">
        <f t="shared" si="1"/>
        <v/>
      </c>
      <c r="AA12" s="70" t="str">
        <f t="shared" si="1"/>
        <v/>
      </c>
      <c r="AB12" s="70" t="str">
        <f t="shared" si="1"/>
        <v/>
      </c>
    </row>
    <row r="13">
      <c r="A13" s="12" t="s">
        <v>99</v>
      </c>
      <c r="B13" s="55">
        <f t="shared" ref="B13:AB13" si="2">IFERROR(B5/SUM(B5:B11),"")</f>
        <v>0.1119641637</v>
      </c>
      <c r="C13" s="55" t="str">
        <f t="shared" si="2"/>
        <v/>
      </c>
      <c r="D13" s="55" t="str">
        <f t="shared" si="2"/>
        <v/>
      </c>
      <c r="E13" s="55" t="str">
        <f t="shared" si="2"/>
        <v/>
      </c>
      <c r="F13" s="55" t="str">
        <f t="shared" si="2"/>
        <v/>
      </c>
      <c r="G13" s="55" t="str">
        <f t="shared" si="2"/>
        <v/>
      </c>
      <c r="H13" s="55" t="str">
        <f t="shared" si="2"/>
        <v/>
      </c>
      <c r="I13" s="55" t="str">
        <f t="shared" si="2"/>
        <v/>
      </c>
      <c r="J13" s="55" t="str">
        <f t="shared" si="2"/>
        <v/>
      </c>
      <c r="K13" s="55" t="str">
        <f t="shared" si="2"/>
        <v/>
      </c>
      <c r="L13" s="55" t="str">
        <f t="shared" si="2"/>
        <v/>
      </c>
      <c r="M13" s="55" t="str">
        <f t="shared" si="2"/>
        <v/>
      </c>
      <c r="N13" s="55" t="str">
        <f t="shared" si="2"/>
        <v/>
      </c>
      <c r="O13" s="55" t="str">
        <f t="shared" si="2"/>
        <v/>
      </c>
      <c r="P13" s="55" t="str">
        <f t="shared" si="2"/>
        <v/>
      </c>
      <c r="Q13" s="55" t="str">
        <f t="shared" si="2"/>
        <v/>
      </c>
      <c r="R13" s="55" t="str">
        <f t="shared" si="2"/>
        <v/>
      </c>
      <c r="S13" s="55" t="str">
        <f t="shared" si="2"/>
        <v/>
      </c>
      <c r="T13" s="55" t="str">
        <f t="shared" si="2"/>
        <v/>
      </c>
      <c r="U13" s="55" t="str">
        <f t="shared" si="2"/>
        <v/>
      </c>
      <c r="V13" s="55" t="str">
        <f t="shared" si="2"/>
        <v/>
      </c>
      <c r="W13" s="55" t="str">
        <f t="shared" si="2"/>
        <v/>
      </c>
      <c r="X13" s="55" t="str">
        <f t="shared" si="2"/>
        <v/>
      </c>
      <c r="Y13" s="55" t="str">
        <f t="shared" si="2"/>
        <v/>
      </c>
      <c r="Z13" s="55" t="str">
        <f t="shared" si="2"/>
        <v/>
      </c>
      <c r="AA13" s="55" t="str">
        <f t="shared" si="2"/>
        <v/>
      </c>
      <c r="AB13" s="55" t="str">
        <f t="shared" si="2"/>
        <v/>
      </c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B1"/>
    <mergeCell ref="A2:AB2"/>
  </mergeCells>
  <printOptions/>
  <pageMargins bottom="1.0" footer="0.0" header="0.0" left="0.75" right="0.75" top="1.0"/>
  <pageSetup paperSize="9" orientation="portrait"/>
  <drawing r:id="rId1"/>
</worksheet>
</file>